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7-26" sheetId="1" r:id="rId4"/>
    <sheet state="visible" name="15-7-26" sheetId="2" r:id="rId5"/>
    <sheet state="visible" name="29-7-26" sheetId="3" r:id="rId6"/>
    <sheet state="visible" name="12-8-26" sheetId="4" r:id="rId7"/>
    <sheet state="visible" name="26-8-26" sheetId="5" r:id="rId8"/>
    <sheet state="visible" name="Summery" sheetId="6" r:id="rId9"/>
  </sheets>
  <definedNames/>
  <calcPr/>
  <extLst>
    <ext uri="GoogleSheetsCustomDataVersion2">
      <go:sheetsCustomData xmlns:go="http://customooxmlschemas.google.com/" r:id="rId10" roundtripDataChecksum="+oR8chuZjQOQ4QBWhkndp1GiRQcYLwIDW/T4kvuNSyY="/>
    </ext>
  </extLst>
</workbook>
</file>

<file path=xl/sharedStrings.xml><?xml version="1.0" encoding="utf-8"?>
<sst xmlns="http://schemas.openxmlformats.org/spreadsheetml/2006/main" count="752" uniqueCount="124">
  <si>
    <t>DIGITAL TITANS</t>
  </si>
  <si>
    <t>VISITORS</t>
  </si>
  <si>
    <t xml:space="preserve">Sr. No. </t>
  </si>
  <si>
    <t>Date</t>
  </si>
  <si>
    <t>Member Who Invited Visitors (Name)</t>
  </si>
  <si>
    <t>Visitor Name</t>
  </si>
  <si>
    <t>Hot Category (Count)</t>
  </si>
  <si>
    <t>Open Cateory (Count)</t>
  </si>
  <si>
    <t>Closed Category (Count)</t>
  </si>
  <si>
    <t>Repeat Visitor (Count)</t>
  </si>
  <si>
    <t>POINTS</t>
  </si>
  <si>
    <t>TOTAL POINTS</t>
  </si>
  <si>
    <t>Meghna Shah</t>
  </si>
  <si>
    <t>Mamta Tejwani</t>
  </si>
  <si>
    <t>Saloni</t>
  </si>
  <si>
    <t>Harun Kazi</t>
  </si>
  <si>
    <t>Himanshu Trivedi</t>
  </si>
  <si>
    <t/>
  </si>
  <si>
    <t>INDUCTIONS</t>
  </si>
  <si>
    <t>Sponsor Member (Name)</t>
  </si>
  <si>
    <t>Member Inducted (Count)</t>
  </si>
  <si>
    <t>ATTENDANCE</t>
  </si>
  <si>
    <t>List Team Members Present (Name)</t>
  </si>
  <si>
    <t>Number of Absent Team Members</t>
  </si>
  <si>
    <t>Kamlesh</t>
  </si>
  <si>
    <t>Harun</t>
  </si>
  <si>
    <t>Suhani</t>
  </si>
  <si>
    <t>Meghna</t>
  </si>
  <si>
    <t>Bhavik</t>
  </si>
  <si>
    <t>PUCTUALITY</t>
  </si>
  <si>
    <t>List Team Members Present on Time (Name)</t>
  </si>
  <si>
    <t>Number of Team Members Coming Late</t>
  </si>
  <si>
    <t>EKta</t>
  </si>
  <si>
    <t>WEARING BADGE/ACHIEVER'S  PINS</t>
  </si>
  <si>
    <t>Team Members (Name)</t>
  </si>
  <si>
    <t>Did this Team Member wear Badge (If yes write 1, if no write 0)</t>
  </si>
  <si>
    <t>GETTING ACHIEVER'S  PINS</t>
  </si>
  <si>
    <t>Did this Team Member get Achiever's Pins (If Yes write 1, if No write 0)</t>
  </si>
  <si>
    <t>GOLDEN MIC</t>
  </si>
  <si>
    <t>Sr. No.</t>
  </si>
  <si>
    <t>Team Member (Write 1 if the member got golden mic or else write 0)</t>
  </si>
  <si>
    <t>ABIDING THEME</t>
  </si>
  <si>
    <t>Team (Name)</t>
  </si>
  <si>
    <t>All members Abiding to Theme. (If yes type 1,if no type 0)</t>
  </si>
  <si>
    <t>ATTIRE</t>
  </si>
  <si>
    <t>Team Member (Name)</t>
  </si>
  <si>
    <t>In Attire (Write 1 if in Attire or else write 0)</t>
  </si>
  <si>
    <t>Sunahi</t>
  </si>
  <si>
    <t>Ekta</t>
  </si>
  <si>
    <t>TOTAL POINTS  - WEEK 1</t>
  </si>
  <si>
    <t xml:space="preserve">Activity </t>
  </si>
  <si>
    <t xml:space="preserve">Points </t>
  </si>
  <si>
    <t>Visitors</t>
  </si>
  <si>
    <t>Inductions</t>
  </si>
  <si>
    <t>Attendance</t>
  </si>
  <si>
    <t>Punctuality</t>
  </si>
  <si>
    <t>Wearing Achiever's pin</t>
  </si>
  <si>
    <t>Getting Achiever's pin</t>
  </si>
  <si>
    <t>Golden Mic</t>
  </si>
  <si>
    <t>Abiding Theme</t>
  </si>
  <si>
    <t>Attire</t>
  </si>
  <si>
    <t>Scoring</t>
  </si>
  <si>
    <t>TOTAL</t>
  </si>
  <si>
    <t>Repeat Visitor(Count)</t>
  </si>
  <si>
    <t>REFERRALS</t>
  </si>
  <si>
    <t>Same Team (Count)</t>
  </si>
  <si>
    <t>Cross Team/Chapter (Count)</t>
  </si>
  <si>
    <t>Cross Region/ Commissioner (Count)</t>
  </si>
  <si>
    <t>V2V</t>
  </si>
  <si>
    <t>Cross Team/ Chapter/Commissioner (Count)</t>
  </si>
  <si>
    <t>Cross Region (Count)</t>
  </si>
  <si>
    <t>ED (Count)</t>
  </si>
  <si>
    <t>SPECIFIC ASK COMPLETED</t>
  </si>
  <si>
    <t>Specific Ask Completed (Count)</t>
  </si>
  <si>
    <t>Specific Ask Completed for (Name)</t>
  </si>
  <si>
    <t>TRAININGS</t>
  </si>
  <si>
    <t>Date of Training</t>
  </si>
  <si>
    <t>Number of Members Present in Training</t>
  </si>
  <si>
    <t>Whole Team Present (If whole team present, write 1 or write 0)</t>
  </si>
  <si>
    <t>THANK YOU NOTES</t>
  </si>
  <si>
    <t>TN Received from  (Member Name)</t>
  </si>
  <si>
    <t>Amount</t>
  </si>
  <si>
    <t>JOINT PRESENTATIONS</t>
  </si>
  <si>
    <t>Member Initiated JP (Name)</t>
  </si>
  <si>
    <t>No Of JP by this Team Member</t>
  </si>
  <si>
    <t>Customer Name</t>
  </si>
  <si>
    <t>SOCIAL &amp; MEMBER'S PLACE VISIBILITY</t>
  </si>
  <si>
    <t>Date of Social / Members Place Visi</t>
  </si>
  <si>
    <t>Number of Team Member Present</t>
  </si>
  <si>
    <t>TEAM/JOINT MEETING</t>
  </si>
  <si>
    <t>Sr. No</t>
  </si>
  <si>
    <t>Team Meeting (No)</t>
  </si>
  <si>
    <t>Joint Team Meeting (No)</t>
  </si>
  <si>
    <t>Photograph</t>
  </si>
  <si>
    <t>TESTIMONIALS</t>
  </si>
  <si>
    <t>Testimonial Given (Count)</t>
  </si>
  <si>
    <t>TOTAL POINTS  - WEEK 2</t>
  </si>
  <si>
    <t>Referrals</t>
  </si>
  <si>
    <t xml:space="preserve">Specific Ask </t>
  </si>
  <si>
    <t>Training</t>
  </si>
  <si>
    <t>Thank you Notes</t>
  </si>
  <si>
    <t>Joint Presentations</t>
  </si>
  <si>
    <t>Social/Member's Place Visibility</t>
  </si>
  <si>
    <t>Team/Joint Meeting</t>
  </si>
  <si>
    <t>Testimonials</t>
  </si>
  <si>
    <t>TN Received from (Member Name)</t>
  </si>
  <si>
    <t>TOTAL POINTS  - WEEK 3</t>
  </si>
  <si>
    <t>Cross Region/Commissioner (Count)</t>
  </si>
  <si>
    <t>Specific Ask Completed Count</t>
  </si>
  <si>
    <t>Number of Members Present in Training (Name)</t>
  </si>
  <si>
    <t>Team Meeting (Count)</t>
  </si>
  <si>
    <t>Joint Team Meeting (Count)</t>
  </si>
  <si>
    <t>TOTAL POINTS  - WEEK 4</t>
  </si>
  <si>
    <t>Specific Ask Completed for</t>
  </si>
  <si>
    <t>TOTAL POINTS  - WEEK 5</t>
  </si>
  <si>
    <t>Pluto Premier League - Team Name Score Summary</t>
  </si>
  <si>
    <t>Timeline</t>
  </si>
  <si>
    <t>Score</t>
  </si>
  <si>
    <t>Total</t>
  </si>
  <si>
    <t>Meeting  1</t>
  </si>
  <si>
    <t>Meeting  2</t>
  </si>
  <si>
    <t>Meeting  3</t>
  </si>
  <si>
    <t>Meeting  4</t>
  </si>
  <si>
    <t>Meeting 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</si>
</sst>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m/dd/yyyy"/>
  </numFmts>
  <fonts count="15">
    <font>
      <sz val="11.0"/>
      <color theme="1"/>
      <name val="Calibri"/>
      <scheme val="minor"/>
    </font>
    <font>
      <b/>
      <sz val="36.0"/>
      <color theme="0"/>
      <name val="Calibri"/>
    </font>
    <font/>
    <font>
      <b/>
      <sz val="20.0"/>
      <color theme="1"/>
      <name val="Calibri"/>
    </font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Calibri"/>
    </font>
    <font>
      <sz val="22.0"/>
      <color theme="1"/>
      <name val="Calibri"/>
    </font>
    <font>
      <sz val="14.0"/>
      <color rgb="FF000000"/>
      <name val="Arial"/>
    </font>
    <font>
      <b/>
      <sz val="16.0"/>
      <color theme="1"/>
      <name val="Calibri"/>
    </font>
    <font>
      <sz val="20.0"/>
      <color theme="1"/>
      <name val="Calibri"/>
    </font>
    <font>
      <sz val="24.0"/>
      <color theme="1"/>
      <name val="Calibri"/>
    </font>
    <font>
      <sz val="18.0"/>
      <color theme="1"/>
      <name val="Calibri"/>
    </font>
    <font>
      <sz val="1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3399"/>
        <bgColor rgb="FFFF3399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4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4" fillId="0" fontId="6" numFmtId="0" xfId="0" applyAlignment="1" applyBorder="1" applyFont="1">
      <alignment horizontal="center" vertical="center"/>
    </xf>
    <xf borderId="15" fillId="0" fontId="6" numFmtId="14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5" fillId="0" fontId="6" numFmtId="14" xfId="0" applyAlignment="1" applyBorder="1" applyFont="1" applyNumberFormat="1">
      <alignment horizontal="center" vertical="center"/>
    </xf>
    <xf borderId="17" fillId="0" fontId="2" numFmtId="0" xfId="0" applyBorder="1" applyFont="1"/>
    <xf quotePrefix="1" borderId="15" fillId="0" fontId="6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2" numFmtId="0" xfId="0" applyBorder="1" applyFont="1"/>
    <xf borderId="0" fillId="0" fontId="3" numFmtId="0" xfId="0" applyAlignment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15" fillId="0" fontId="6" numFmtId="164" xfId="0" applyAlignment="1" applyBorder="1" applyFont="1" applyNumberFormat="1">
      <alignment horizontal="center" readingOrder="0" vertical="center"/>
    </xf>
    <xf borderId="10" fillId="0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/>
    </xf>
    <xf borderId="4" fillId="0" fontId="4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15" fillId="0" fontId="6" numFmtId="165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24" fillId="0" fontId="2" numFmtId="0" xfId="0" applyBorder="1" applyFont="1"/>
    <xf borderId="0" fillId="0" fontId="6" numFmtId="0" xfId="0" applyAlignment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8" fillId="0" fontId="6" numFmtId="14" xfId="0" applyAlignment="1" applyBorder="1" applyFont="1" applyNumberFormat="1">
      <alignment horizontal="center" vertical="center"/>
    </xf>
    <xf borderId="19" fillId="0" fontId="6" numFmtId="14" xfId="0" applyAlignment="1" applyBorder="1" applyFont="1" applyNumberFormat="1">
      <alignment horizontal="center" vertical="center"/>
    </xf>
    <xf borderId="25" fillId="0" fontId="2" numFmtId="0" xfId="0" applyBorder="1" applyFont="1"/>
    <xf borderId="22" fillId="0" fontId="4" numFmtId="0" xfId="0" applyBorder="1" applyFont="1"/>
    <xf borderId="14" fillId="0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2" fillId="0" fontId="6" numFmtId="14" xfId="0" applyAlignment="1" applyBorder="1" applyFont="1" applyNumberFormat="1">
      <alignment horizontal="center" vertical="center"/>
    </xf>
    <xf borderId="22" fillId="0" fontId="6" numFmtId="0" xfId="0" applyAlignment="1" applyBorder="1" applyFon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26" fillId="0" fontId="4" numFmtId="0" xfId="0" applyBorder="1" applyFont="1"/>
    <xf borderId="23" fillId="0" fontId="5" numFmtId="0" xfId="0" applyAlignment="1" applyBorder="1" applyFont="1">
      <alignment horizontal="center" vertical="center"/>
    </xf>
    <xf borderId="23" fillId="0" fontId="4" numFmtId="0" xfId="0" applyBorder="1" applyFont="1"/>
    <xf borderId="27" fillId="0" fontId="6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9" fillId="0" fontId="6" numFmtId="165" xfId="0" applyAlignment="1" applyBorder="1" applyFont="1" applyNumberForma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28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3" fillId="0" fontId="4" numFmtId="0" xfId="0" applyBorder="1" applyFont="1"/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1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13" fillId="0" fontId="5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shrinkToFit="0" vertical="center" wrapText="1"/>
    </xf>
    <xf borderId="32" fillId="3" fontId="10" numFmtId="0" xfId="0" applyAlignment="1" applyBorder="1" applyFont="1">
      <alignment horizontal="center" vertical="center"/>
    </xf>
    <xf borderId="33" fillId="0" fontId="2" numFmtId="0" xfId="0" applyBorder="1" applyFont="1"/>
    <xf borderId="28" fillId="3" fontId="10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6" numFmtId="14" xfId="0" applyAlignment="1" applyBorder="1" applyFont="1" applyNumberForma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6" numFmtId="1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vertical="center"/>
    </xf>
    <xf borderId="31" fillId="0" fontId="4" numFmtId="0" xfId="0" applyBorder="1" applyFont="1"/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35" fillId="0" fontId="11" numFmtId="0" xfId="0" applyAlignment="1" applyBorder="1" applyFont="1">
      <alignment horizontal="center" vertical="center"/>
    </xf>
    <xf borderId="26" fillId="0" fontId="11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36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39" fillId="0" fontId="6" numFmtId="0" xfId="0" applyAlignment="1" applyBorder="1" applyFont="1">
      <alignment horizontal="center" vertical="center"/>
    </xf>
    <xf borderId="22" fillId="0" fontId="2" numFmtId="0" xfId="0" applyBorder="1" applyFont="1"/>
    <xf borderId="33" fillId="0" fontId="6" numFmtId="0" xfId="0" applyAlignment="1" applyBorder="1" applyFont="1">
      <alignment horizontal="center" vertical="center"/>
    </xf>
    <xf borderId="40" fillId="0" fontId="2" numFmtId="0" xfId="0" applyBorder="1" applyFont="1"/>
    <xf borderId="5" fillId="0" fontId="4" numFmtId="0" xfId="0" applyBorder="1" applyFont="1"/>
    <xf borderId="23" fillId="0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/>
    </xf>
    <xf borderId="41" fillId="4" fontId="13" numFmtId="0" xfId="0" applyAlignment="1" applyBorder="1" applyFill="1" applyFont="1">
      <alignment horizontal="center" vertical="center"/>
    </xf>
    <xf borderId="42" fillId="4" fontId="13" numFmtId="0" xfId="0" applyAlignment="1" applyBorder="1" applyFont="1">
      <alignment horizontal="center" vertical="center"/>
    </xf>
    <xf borderId="43" fillId="4" fontId="13" numFmtId="0" xfId="0" applyAlignment="1" applyBorder="1" applyFont="1">
      <alignment horizontal="center" vertical="center"/>
    </xf>
    <xf borderId="44" fillId="0" fontId="13" numFmtId="0" xfId="0" applyAlignment="1" applyBorder="1" applyFont="1">
      <alignment horizontal="center" vertical="center"/>
    </xf>
    <xf borderId="45" fillId="0" fontId="13" numFmtId="0" xfId="0" applyAlignment="1" applyBorder="1" applyFont="1">
      <alignment horizontal="center" vertical="center"/>
    </xf>
    <xf borderId="46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19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0"/>
    <col customWidth="1" min="3" max="3" width="24.86"/>
    <col customWidth="1" min="4" max="4" width="32.14"/>
    <col customWidth="1" min="5" max="5" width="30.43"/>
    <col customWidth="1" min="6" max="6" width="29.29"/>
    <col customWidth="1" min="7" max="7" width="25.86"/>
    <col customWidth="1" min="8" max="8" width="23.43"/>
    <col customWidth="1" min="9" max="9" width="23.0"/>
    <col customWidth="1" min="10" max="10" width="14.86"/>
    <col customWidth="1" min="11" max="11" width="14.0"/>
    <col customWidth="1" min="12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4">
      <c r="A4" s="5" t="s">
        <v>1</v>
      </c>
      <c r="B4" s="2"/>
      <c r="C4" s="2"/>
      <c r="D4" s="2"/>
      <c r="E4" s="2"/>
      <c r="F4" s="2"/>
      <c r="G4" s="2"/>
      <c r="H4" s="2"/>
      <c r="I4" s="2"/>
      <c r="J4" s="3"/>
      <c r="K4" s="6"/>
    </row>
    <row r="5">
      <c r="A5" s="7"/>
      <c r="B5" s="8"/>
      <c r="C5" s="8"/>
      <c r="D5" s="8"/>
      <c r="E5" s="8"/>
      <c r="F5" s="8"/>
      <c r="G5" s="8"/>
      <c r="H5" s="8"/>
      <c r="I5" s="9"/>
      <c r="J5" s="10"/>
    </row>
    <row r="6" ht="57.75" customHeight="1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4" t="s">
        <v>10</v>
      </c>
      <c r="J6" s="15" t="s">
        <v>11</v>
      </c>
      <c r="K6" s="16"/>
    </row>
    <row r="7" ht="18.0" customHeight="1">
      <c r="A7" s="17"/>
      <c r="B7" s="18"/>
      <c r="C7" s="19"/>
      <c r="D7" s="19"/>
      <c r="E7" s="19"/>
      <c r="F7" s="19"/>
      <c r="G7" s="19"/>
      <c r="H7" s="19"/>
      <c r="I7" s="19"/>
      <c r="J7" s="20"/>
      <c r="K7" s="21"/>
    </row>
    <row r="8">
      <c r="A8" s="22">
        <v>1.0</v>
      </c>
      <c r="B8" s="23">
        <v>46029.0</v>
      </c>
      <c r="C8" s="24" t="s">
        <v>12</v>
      </c>
      <c r="D8" s="24" t="s">
        <v>13</v>
      </c>
      <c r="E8" s="25"/>
      <c r="F8" s="24">
        <v>1.0</v>
      </c>
      <c r="G8" s="25"/>
      <c r="H8" s="25"/>
      <c r="I8" s="26">
        <f t="shared" ref="I8:I15" si="1">SUM((E8*300)+(F8*200)+(G8*50)+(H8*0))</f>
        <v>200</v>
      </c>
      <c r="J8" s="27">
        <f>SUM(I8:I15)</f>
        <v>600</v>
      </c>
      <c r="K8" s="28"/>
    </row>
    <row r="9">
      <c r="A9" s="22"/>
      <c r="B9" s="29"/>
      <c r="C9" s="25"/>
      <c r="D9" s="24" t="s">
        <v>14</v>
      </c>
      <c r="E9" s="25"/>
      <c r="F9" s="24">
        <v>1.0</v>
      </c>
      <c r="G9" s="25"/>
      <c r="H9" s="25"/>
      <c r="I9" s="28">
        <f t="shared" si="1"/>
        <v>200</v>
      </c>
      <c r="J9" s="30"/>
    </row>
    <row r="10">
      <c r="A10" s="22"/>
      <c r="B10" s="29"/>
      <c r="C10" s="25"/>
      <c r="D10" s="25"/>
      <c r="E10" s="25"/>
      <c r="F10" s="25"/>
      <c r="G10" s="25"/>
      <c r="H10" s="25"/>
      <c r="I10" s="26">
        <f t="shared" si="1"/>
        <v>0</v>
      </c>
      <c r="J10" s="30"/>
    </row>
    <row r="11">
      <c r="A11" s="22"/>
      <c r="B11" s="23">
        <v>46029.0</v>
      </c>
      <c r="C11" s="24" t="s">
        <v>15</v>
      </c>
      <c r="D11" s="24" t="s">
        <v>16</v>
      </c>
      <c r="E11" s="25"/>
      <c r="F11" s="24">
        <v>1.0</v>
      </c>
      <c r="G11" s="25"/>
      <c r="H11" s="25"/>
      <c r="I11" s="26">
        <f t="shared" si="1"/>
        <v>200</v>
      </c>
      <c r="J11" s="30"/>
    </row>
    <row r="12">
      <c r="A12" s="22"/>
      <c r="B12" s="25"/>
      <c r="C12" s="31" t="s">
        <v>17</v>
      </c>
      <c r="D12" s="25"/>
      <c r="E12" s="25"/>
      <c r="F12" s="25"/>
      <c r="G12" s="25"/>
      <c r="H12" s="25"/>
      <c r="I12" s="26">
        <f t="shared" si="1"/>
        <v>0</v>
      </c>
      <c r="J12" s="30"/>
    </row>
    <row r="13">
      <c r="A13" s="22"/>
      <c r="B13" s="25"/>
      <c r="C13" s="25"/>
      <c r="D13" s="25"/>
      <c r="E13" s="25"/>
      <c r="F13" s="25"/>
      <c r="G13" s="25"/>
      <c r="H13" s="25"/>
      <c r="I13" s="26">
        <f t="shared" si="1"/>
        <v>0</v>
      </c>
      <c r="J13" s="30"/>
    </row>
    <row r="14">
      <c r="A14" s="22"/>
      <c r="B14" s="25"/>
      <c r="C14" s="25"/>
      <c r="D14" s="25"/>
      <c r="E14" s="25"/>
      <c r="F14" s="25"/>
      <c r="G14" s="25"/>
      <c r="H14" s="25"/>
      <c r="I14" s="26">
        <f t="shared" si="1"/>
        <v>0</v>
      </c>
      <c r="J14" s="30"/>
    </row>
    <row r="15">
      <c r="A15" s="32"/>
      <c r="B15" s="33"/>
      <c r="C15" s="33"/>
      <c r="D15" s="33"/>
      <c r="E15" s="33"/>
      <c r="F15" s="33"/>
      <c r="G15" s="33"/>
      <c r="H15" s="33"/>
      <c r="I15" s="34">
        <f t="shared" si="1"/>
        <v>0</v>
      </c>
      <c r="J15" s="35"/>
    </row>
    <row r="18">
      <c r="A18" s="5" t="s">
        <v>18</v>
      </c>
      <c r="B18" s="2"/>
      <c r="C18" s="2"/>
      <c r="D18" s="2"/>
      <c r="E18" s="2"/>
      <c r="F18" s="3"/>
      <c r="G18" s="36"/>
    </row>
    <row r="19">
      <c r="A19" s="7"/>
      <c r="B19" s="8"/>
      <c r="C19" s="8"/>
      <c r="D19" s="8"/>
      <c r="E19" s="8"/>
      <c r="F19" s="37"/>
      <c r="G19" s="8"/>
    </row>
    <row r="20">
      <c r="A20" s="11" t="s">
        <v>2</v>
      </c>
      <c r="B20" s="12" t="s">
        <v>3</v>
      </c>
      <c r="C20" s="13" t="s">
        <v>19</v>
      </c>
      <c r="D20" s="13" t="s">
        <v>20</v>
      </c>
      <c r="E20" s="13" t="s">
        <v>10</v>
      </c>
      <c r="F20" s="15" t="s">
        <v>11</v>
      </c>
      <c r="G20" s="16"/>
    </row>
    <row r="21" ht="15.75" customHeight="1">
      <c r="A21" s="38"/>
      <c r="B21" s="39"/>
      <c r="C21" s="40"/>
      <c r="D21" s="40"/>
      <c r="E21" s="40"/>
      <c r="F21" s="41"/>
      <c r="G21" s="16"/>
    </row>
    <row r="22" ht="15.75" customHeight="1">
      <c r="A22" s="22"/>
      <c r="B22" s="42">
        <v>46029.0</v>
      </c>
      <c r="C22" s="24" t="s">
        <v>12</v>
      </c>
      <c r="D22" s="24">
        <v>1.0</v>
      </c>
      <c r="E22" s="25">
        <f t="shared" ref="E22:E29" si="2">(D22*500)</f>
        <v>500</v>
      </c>
      <c r="F22" s="43">
        <f>SUM(E22:E29)</f>
        <v>500</v>
      </c>
      <c r="G22" s="28"/>
    </row>
    <row r="23" ht="15.75" customHeight="1">
      <c r="A23" s="22"/>
      <c r="B23" s="25"/>
      <c r="C23" s="25"/>
      <c r="D23" s="25"/>
      <c r="E23" s="25">
        <f t="shared" si="2"/>
        <v>0</v>
      </c>
      <c r="F23" s="30"/>
      <c r="G23" s="28"/>
    </row>
    <row r="24" ht="15.75" customHeight="1">
      <c r="A24" s="22"/>
      <c r="B24" s="25"/>
      <c r="C24" s="25"/>
      <c r="D24" s="25"/>
      <c r="E24" s="25">
        <f t="shared" si="2"/>
        <v>0</v>
      </c>
      <c r="F24" s="30"/>
      <c r="G24" s="28"/>
    </row>
    <row r="25" ht="15.75" customHeight="1">
      <c r="A25" s="22"/>
      <c r="B25" s="25"/>
      <c r="C25" s="25"/>
      <c r="D25" s="25"/>
      <c r="E25" s="25">
        <f t="shared" si="2"/>
        <v>0</v>
      </c>
      <c r="F25" s="30"/>
      <c r="G25" s="28"/>
    </row>
    <row r="26" ht="15.75" customHeight="1">
      <c r="A26" s="22"/>
      <c r="B26" s="25"/>
      <c r="C26" s="25"/>
      <c r="D26" s="25"/>
      <c r="E26" s="25">
        <f t="shared" si="2"/>
        <v>0</v>
      </c>
      <c r="F26" s="30"/>
      <c r="G26" s="28"/>
    </row>
    <row r="27" ht="15.75" customHeight="1">
      <c r="A27" s="22"/>
      <c r="B27" s="25"/>
      <c r="C27" s="25"/>
      <c r="D27" s="25"/>
      <c r="E27" s="25">
        <f t="shared" si="2"/>
        <v>0</v>
      </c>
      <c r="F27" s="30"/>
      <c r="G27" s="28"/>
    </row>
    <row r="28" ht="15.75" customHeight="1">
      <c r="A28" s="22"/>
      <c r="B28" s="25"/>
      <c r="C28" s="25"/>
      <c r="D28" s="25"/>
      <c r="E28" s="25">
        <f t="shared" si="2"/>
        <v>0</v>
      </c>
      <c r="F28" s="30"/>
      <c r="G28" s="28"/>
    </row>
    <row r="29" ht="15.75" customHeight="1">
      <c r="A29" s="32"/>
      <c r="B29" s="33"/>
      <c r="C29" s="33"/>
      <c r="D29" s="33"/>
      <c r="E29" s="33">
        <f t="shared" si="2"/>
        <v>0</v>
      </c>
      <c r="F29" s="35"/>
      <c r="G29" s="28"/>
    </row>
    <row r="30" ht="15.75" customHeight="1"/>
    <row r="31" ht="15.75" customHeight="1"/>
    <row r="32" ht="15.75" customHeight="1">
      <c r="A32" s="44" t="s">
        <v>21</v>
      </c>
      <c r="B32" s="2"/>
      <c r="C32" s="2"/>
      <c r="D32" s="2"/>
      <c r="E32" s="3"/>
    </row>
    <row r="33" ht="15.75" customHeight="1">
      <c r="A33" s="45"/>
      <c r="E33" s="10"/>
    </row>
    <row r="34" ht="15.75" customHeight="1">
      <c r="A34" s="46" t="s">
        <v>2</v>
      </c>
      <c r="B34" s="47" t="s">
        <v>3</v>
      </c>
      <c r="C34" s="48" t="s">
        <v>22</v>
      </c>
      <c r="D34" s="48" t="s">
        <v>23</v>
      </c>
      <c r="E34" s="49" t="s">
        <v>11</v>
      </c>
      <c r="F34" s="50"/>
    </row>
    <row r="35" ht="15.75" customHeight="1">
      <c r="A35" s="51"/>
      <c r="B35" s="52"/>
      <c r="C35" s="52"/>
      <c r="D35" s="52"/>
      <c r="E35" s="53"/>
    </row>
    <row r="36" ht="15.75" customHeight="1">
      <c r="A36" s="22">
        <v>1.0</v>
      </c>
      <c r="B36" s="54">
        <v>46029.0</v>
      </c>
      <c r="C36" s="24" t="s">
        <v>24</v>
      </c>
      <c r="D36" s="55"/>
      <c r="E36" s="56">
        <f>IF(D36=0,300,D36*-200)</f>
        <v>300</v>
      </c>
      <c r="F36" s="28"/>
      <c r="G36" s="50"/>
    </row>
    <row r="37" ht="15.75" customHeight="1">
      <c r="A37" s="22">
        <v>2.0</v>
      </c>
      <c r="B37" s="54">
        <v>46029.0</v>
      </c>
      <c r="C37" s="24" t="s">
        <v>25</v>
      </c>
      <c r="D37" s="57"/>
      <c r="E37" s="30"/>
    </row>
    <row r="38" ht="15.75" customHeight="1">
      <c r="A38" s="22">
        <v>3.0</v>
      </c>
      <c r="B38" s="54">
        <v>46029.0</v>
      </c>
      <c r="C38" s="58" t="s">
        <v>26</v>
      </c>
      <c r="D38" s="57"/>
      <c r="E38" s="30"/>
      <c r="G38" s="28"/>
    </row>
    <row r="39" ht="15.75" customHeight="1">
      <c r="A39" s="59">
        <v>4.0</v>
      </c>
      <c r="B39" s="54">
        <v>46029.0</v>
      </c>
      <c r="C39" s="24" t="s">
        <v>27</v>
      </c>
      <c r="D39" s="57"/>
      <c r="E39" s="30"/>
      <c r="G39" s="28"/>
    </row>
    <row r="40" ht="15.75" customHeight="1">
      <c r="A40" s="60">
        <v>5.0</v>
      </c>
      <c r="B40" s="54">
        <v>46029.0</v>
      </c>
      <c r="C40" s="24" t="s">
        <v>28</v>
      </c>
      <c r="D40" s="57"/>
      <c r="E40" s="30"/>
      <c r="G40" s="28"/>
    </row>
    <row r="41" ht="15.75" customHeight="1">
      <c r="A41" s="59"/>
      <c r="B41" s="61"/>
      <c r="C41" s="55"/>
      <c r="D41" s="57"/>
      <c r="E41" s="30"/>
      <c r="G41" s="28"/>
    </row>
    <row r="42" ht="15.75" customHeight="1">
      <c r="A42" s="32"/>
      <c r="B42" s="62"/>
      <c r="C42" s="33"/>
      <c r="D42" s="63"/>
      <c r="E42" s="35"/>
      <c r="G42" s="28"/>
    </row>
    <row r="43" ht="15.75" customHeight="1">
      <c r="G43" s="28"/>
    </row>
    <row r="44" ht="15.75" customHeight="1">
      <c r="G44" s="28"/>
    </row>
    <row r="45" ht="15.75" customHeight="1">
      <c r="A45" s="44" t="s">
        <v>29</v>
      </c>
      <c r="B45" s="2"/>
      <c r="C45" s="2"/>
      <c r="D45" s="2"/>
      <c r="E45" s="3"/>
    </row>
    <row r="46" ht="15.75" customHeight="1">
      <c r="A46" s="45"/>
      <c r="E46" s="64"/>
    </row>
    <row r="47" ht="15.75" customHeight="1">
      <c r="A47" s="46" t="s">
        <v>2</v>
      </c>
      <c r="B47" s="47" t="s">
        <v>3</v>
      </c>
      <c r="C47" s="48" t="s">
        <v>30</v>
      </c>
      <c r="D47" s="48" t="s">
        <v>31</v>
      </c>
      <c r="E47" s="49" t="s">
        <v>10</v>
      </c>
      <c r="F47" s="50"/>
    </row>
    <row r="48" ht="15.75" customHeight="1">
      <c r="A48" s="51"/>
      <c r="B48" s="52"/>
      <c r="C48" s="52"/>
      <c r="D48" s="52"/>
      <c r="E48" s="53"/>
    </row>
    <row r="49" ht="15.75" customHeight="1">
      <c r="A49" s="22">
        <v>1.0</v>
      </c>
      <c r="B49" s="54">
        <v>46029.0</v>
      </c>
      <c r="C49" s="24" t="s">
        <v>24</v>
      </c>
      <c r="D49" s="55"/>
      <c r="E49" s="43">
        <f>IF(D49=0,100,D49*-20)</f>
        <v>100</v>
      </c>
      <c r="G49" s="50"/>
    </row>
    <row r="50" ht="15.75" customHeight="1">
      <c r="A50" s="22">
        <v>2.0</v>
      </c>
      <c r="B50" s="54">
        <v>46029.0</v>
      </c>
      <c r="C50" s="24" t="s">
        <v>25</v>
      </c>
      <c r="D50" s="57"/>
      <c r="E50" s="30"/>
    </row>
    <row r="51" ht="15.75" customHeight="1">
      <c r="A51" s="22">
        <v>3.0</v>
      </c>
      <c r="B51" s="54">
        <v>46029.0</v>
      </c>
      <c r="C51" s="58" t="s">
        <v>26</v>
      </c>
      <c r="D51" s="57"/>
      <c r="E51" s="30"/>
    </row>
    <row r="52" ht="15.75" customHeight="1">
      <c r="A52" s="22">
        <v>4.0</v>
      </c>
      <c r="B52" s="54">
        <v>46029.0</v>
      </c>
      <c r="C52" s="24" t="s">
        <v>27</v>
      </c>
      <c r="D52" s="57"/>
      <c r="E52" s="30"/>
    </row>
    <row r="53" ht="15.75" customHeight="1">
      <c r="A53" s="22">
        <v>5.0</v>
      </c>
      <c r="B53" s="54">
        <v>46029.0</v>
      </c>
      <c r="C53" s="24" t="s">
        <v>32</v>
      </c>
      <c r="D53" s="57"/>
      <c r="E53" s="30"/>
    </row>
    <row r="54" ht="15.75" customHeight="1">
      <c r="A54" s="65">
        <v>6.0</v>
      </c>
      <c r="B54" s="23">
        <v>46029.0</v>
      </c>
      <c r="C54" s="24" t="s">
        <v>28</v>
      </c>
      <c r="D54" s="57"/>
      <c r="E54" s="30"/>
    </row>
    <row r="55" ht="15.75" customHeight="1">
      <c r="A55" s="22"/>
      <c r="B55" s="29"/>
      <c r="C55" s="25"/>
      <c r="D55" s="57"/>
      <c r="E55" s="30"/>
    </row>
    <row r="56" ht="15.75" customHeight="1">
      <c r="A56" s="32"/>
      <c r="B56" s="62"/>
      <c r="C56" s="33"/>
      <c r="D56" s="63"/>
      <c r="E56" s="35"/>
    </row>
    <row r="57" ht="15.75" customHeight="1"/>
    <row r="58" ht="15.75" customHeight="1"/>
    <row r="59" ht="15.75" customHeight="1">
      <c r="A59" s="5" t="s">
        <v>33</v>
      </c>
      <c r="B59" s="2"/>
      <c r="C59" s="2"/>
      <c r="D59" s="2"/>
      <c r="E59" s="2"/>
      <c r="F59" s="3"/>
    </row>
    <row r="60" ht="15.75" customHeight="1">
      <c r="A60" s="66"/>
      <c r="B60" s="67"/>
      <c r="C60" s="67"/>
      <c r="D60" s="67"/>
      <c r="E60" s="67"/>
      <c r="F60" s="10"/>
    </row>
    <row r="61" ht="15.75" customHeight="1">
      <c r="A61" s="46" t="s">
        <v>2</v>
      </c>
      <c r="B61" s="47" t="s">
        <v>3</v>
      </c>
      <c r="C61" s="48" t="s">
        <v>34</v>
      </c>
      <c r="D61" s="48" t="s">
        <v>35</v>
      </c>
      <c r="E61" s="47" t="s">
        <v>10</v>
      </c>
      <c r="F61" s="49" t="s">
        <v>11</v>
      </c>
      <c r="G61" s="36"/>
    </row>
    <row r="62" ht="15.75" customHeight="1">
      <c r="A62" s="68"/>
      <c r="B62" s="28"/>
      <c r="C62" s="28"/>
      <c r="D62" s="28"/>
      <c r="E62" s="69"/>
      <c r="F62" s="70"/>
    </row>
    <row r="63" ht="15.75" customHeight="1">
      <c r="A63" s="22">
        <v>1.0</v>
      </c>
      <c r="B63" s="54">
        <v>46029.0</v>
      </c>
      <c r="C63" s="24" t="s">
        <v>24</v>
      </c>
      <c r="D63" s="24">
        <v>1.0</v>
      </c>
      <c r="E63" s="25">
        <f t="shared" ref="E63:E69" si="3">(D63*100)</f>
        <v>100</v>
      </c>
      <c r="F63" s="43">
        <f>SUM(E63:E69)</f>
        <v>500</v>
      </c>
      <c r="G63" s="50"/>
    </row>
    <row r="64" ht="15.75" customHeight="1">
      <c r="A64" s="22">
        <v>2.0</v>
      </c>
      <c r="B64" s="54">
        <v>46029.0</v>
      </c>
      <c r="C64" s="24" t="s">
        <v>25</v>
      </c>
      <c r="D64" s="24">
        <v>1.0</v>
      </c>
      <c r="E64" s="25">
        <f t="shared" si="3"/>
        <v>100</v>
      </c>
      <c r="F64" s="30"/>
      <c r="G64" s="28"/>
    </row>
    <row r="65" ht="15.75" customHeight="1">
      <c r="A65" s="22">
        <v>3.0</v>
      </c>
      <c r="B65" s="54">
        <v>46029.0</v>
      </c>
      <c r="C65" s="24" t="s">
        <v>27</v>
      </c>
      <c r="D65" s="24">
        <v>1.0</v>
      </c>
      <c r="E65" s="25">
        <f t="shared" si="3"/>
        <v>100</v>
      </c>
      <c r="F65" s="30"/>
      <c r="G65" s="28"/>
    </row>
    <row r="66" ht="15.75" customHeight="1">
      <c r="A66" s="22">
        <v>4.0</v>
      </c>
      <c r="B66" s="54">
        <v>46029.0</v>
      </c>
      <c r="C66" s="24" t="s">
        <v>26</v>
      </c>
      <c r="D66" s="24">
        <v>1.0</v>
      </c>
      <c r="E66" s="25">
        <f t="shared" si="3"/>
        <v>100</v>
      </c>
      <c r="F66" s="30"/>
      <c r="G66" s="28"/>
    </row>
    <row r="67" ht="15.75" customHeight="1">
      <c r="A67" s="65">
        <v>5.0</v>
      </c>
      <c r="B67" s="54">
        <v>46029.0</v>
      </c>
      <c r="C67" s="24" t="s">
        <v>28</v>
      </c>
      <c r="D67" s="24">
        <v>1.0</v>
      </c>
      <c r="E67" s="25">
        <f t="shared" si="3"/>
        <v>100</v>
      </c>
      <c r="F67" s="30"/>
      <c r="G67" s="28"/>
    </row>
    <row r="68" ht="15.75" customHeight="1">
      <c r="A68" s="22"/>
      <c r="B68" s="29"/>
      <c r="C68" s="29"/>
      <c r="D68" s="25"/>
      <c r="E68" s="25">
        <f t="shared" si="3"/>
        <v>0</v>
      </c>
      <c r="F68" s="30"/>
      <c r="G68" s="28"/>
    </row>
    <row r="69" ht="15.75" customHeight="1">
      <c r="A69" s="32"/>
      <c r="B69" s="62"/>
      <c r="C69" s="62"/>
      <c r="D69" s="33"/>
      <c r="E69" s="33">
        <f t="shared" si="3"/>
        <v>0</v>
      </c>
      <c r="F69" s="35"/>
      <c r="G69" s="28"/>
    </row>
    <row r="70" ht="15.75" customHeight="1">
      <c r="A70" s="28"/>
      <c r="B70" s="71"/>
      <c r="C70" s="71"/>
      <c r="D70" s="28"/>
      <c r="E70" s="28"/>
      <c r="F70" s="28"/>
      <c r="G70" s="28"/>
    </row>
    <row r="71" ht="15.75" customHeight="1">
      <c r="G71" s="28"/>
    </row>
    <row r="72" ht="15.75" customHeight="1">
      <c r="A72" s="5" t="s">
        <v>36</v>
      </c>
      <c r="B72" s="2"/>
      <c r="C72" s="2"/>
      <c r="D72" s="2"/>
      <c r="E72" s="2"/>
      <c r="F72" s="3"/>
      <c r="G72" s="28"/>
    </row>
    <row r="73" ht="15.75" customHeight="1">
      <c r="A73" s="66"/>
      <c r="B73" s="67"/>
      <c r="C73" s="67"/>
      <c r="D73" s="67"/>
      <c r="E73" s="67"/>
      <c r="F73" s="72"/>
    </row>
    <row r="74" ht="15.75" customHeight="1">
      <c r="A74" s="46" t="s">
        <v>2</v>
      </c>
      <c r="B74" s="47" t="s">
        <v>3</v>
      </c>
      <c r="C74" s="48" t="s">
        <v>34</v>
      </c>
      <c r="D74" s="48" t="s">
        <v>37</v>
      </c>
      <c r="E74" s="47" t="s">
        <v>10</v>
      </c>
      <c r="F74" s="73" t="s">
        <v>11</v>
      </c>
      <c r="G74" s="36"/>
    </row>
    <row r="75" ht="15.75" customHeight="1">
      <c r="A75" s="68"/>
      <c r="B75" s="28"/>
      <c r="C75" s="28"/>
      <c r="D75" s="28"/>
      <c r="E75" s="18"/>
      <c r="F75" s="74"/>
    </row>
    <row r="76" ht="15.75" customHeight="1">
      <c r="A76" s="22">
        <v>1.0</v>
      </c>
      <c r="B76" s="29"/>
      <c r="C76" s="25"/>
      <c r="D76" s="25"/>
      <c r="E76" s="75">
        <f t="shared" ref="E76:E82" si="4">(D76*100)</f>
        <v>0</v>
      </c>
      <c r="F76" s="43">
        <f>SUM(E76:E82)</f>
        <v>0</v>
      </c>
      <c r="G76" s="50"/>
    </row>
    <row r="77" ht="15.75" customHeight="1">
      <c r="A77" s="22"/>
      <c r="B77" s="29"/>
      <c r="C77" s="25"/>
      <c r="D77" s="25"/>
      <c r="E77" s="75">
        <f t="shared" si="4"/>
        <v>0</v>
      </c>
      <c r="F77" s="30"/>
    </row>
    <row r="78" ht="15.75" customHeight="1">
      <c r="A78" s="22"/>
      <c r="B78" s="29"/>
      <c r="C78" s="25"/>
      <c r="D78" s="25"/>
      <c r="E78" s="75">
        <f t="shared" si="4"/>
        <v>0</v>
      </c>
      <c r="F78" s="30"/>
      <c r="G78" s="28"/>
    </row>
    <row r="79" ht="15.75" customHeight="1">
      <c r="A79" s="22"/>
      <c r="B79" s="29"/>
      <c r="C79" s="25"/>
      <c r="D79" s="76"/>
      <c r="E79" s="75">
        <f t="shared" si="4"/>
        <v>0</v>
      </c>
      <c r="F79" s="30"/>
      <c r="G79" s="28"/>
    </row>
    <row r="80" ht="15.75" customHeight="1">
      <c r="A80" s="22"/>
      <c r="B80" s="29"/>
      <c r="C80" s="25"/>
      <c r="D80" s="76"/>
      <c r="E80" s="75">
        <f t="shared" si="4"/>
        <v>0</v>
      </c>
      <c r="F80" s="30"/>
      <c r="G80" s="28"/>
    </row>
    <row r="81" ht="15.75" customHeight="1">
      <c r="A81" s="22"/>
      <c r="B81" s="29"/>
      <c r="C81" s="26"/>
      <c r="D81" s="76"/>
      <c r="E81" s="75">
        <f t="shared" si="4"/>
        <v>0</v>
      </c>
      <c r="F81" s="30"/>
      <c r="G81" s="28"/>
    </row>
    <row r="82" ht="15.75" customHeight="1">
      <c r="A82" s="32"/>
      <c r="B82" s="62"/>
      <c r="C82" s="34"/>
      <c r="D82" s="77"/>
      <c r="E82" s="33">
        <f t="shared" si="4"/>
        <v>0</v>
      </c>
      <c r="F82" s="35"/>
      <c r="G82" s="28"/>
    </row>
    <row r="83" ht="15.75" customHeight="1">
      <c r="G83" s="28"/>
    </row>
    <row r="84" ht="15.75" customHeight="1">
      <c r="G84" s="28"/>
    </row>
    <row r="85" ht="15.75" customHeight="1">
      <c r="A85" s="5" t="s">
        <v>38</v>
      </c>
      <c r="B85" s="2"/>
      <c r="C85" s="2"/>
      <c r="D85" s="3"/>
    </row>
    <row r="86" ht="15.75" customHeight="1">
      <c r="A86" s="45"/>
      <c r="D86" s="64"/>
    </row>
    <row r="87" ht="15.75" customHeight="1">
      <c r="A87" s="78" t="s">
        <v>39</v>
      </c>
      <c r="B87" s="47" t="s">
        <v>3</v>
      </c>
      <c r="C87" s="48" t="s">
        <v>40</v>
      </c>
      <c r="D87" s="49" t="s">
        <v>10</v>
      </c>
    </row>
    <row r="88" ht="15.75" customHeight="1">
      <c r="A88" s="68"/>
      <c r="B88" s="28"/>
      <c r="C88" s="28"/>
      <c r="D88" s="70"/>
      <c r="H88" s="6"/>
    </row>
    <row r="89" ht="15.75" customHeight="1">
      <c r="A89" s="32">
        <v>1.0</v>
      </c>
      <c r="B89" s="79">
        <v>46029.0</v>
      </c>
      <c r="C89" s="80">
        <v>1.0</v>
      </c>
      <c r="D89" s="81">
        <f>C89*200</f>
        <v>200</v>
      </c>
      <c r="H89" s="8"/>
    </row>
    <row r="90" ht="15.75" customHeight="1">
      <c r="A90" s="8"/>
      <c r="B90" s="8"/>
      <c r="C90" s="8"/>
      <c r="D90" s="8"/>
      <c r="H90" s="16"/>
    </row>
    <row r="91" ht="15.75" customHeight="1">
      <c r="H91" s="16"/>
    </row>
    <row r="92" ht="15.75" customHeight="1">
      <c r="A92" s="5" t="s">
        <v>41</v>
      </c>
      <c r="B92" s="2"/>
      <c r="C92" s="2"/>
      <c r="D92" s="2"/>
      <c r="E92" s="3"/>
      <c r="H92" s="82"/>
    </row>
    <row r="93" ht="15.75" customHeight="1">
      <c r="E93" s="83"/>
      <c r="H93" s="82"/>
    </row>
    <row r="94" ht="15.75" customHeight="1">
      <c r="A94" s="84" t="s">
        <v>39</v>
      </c>
      <c r="B94" s="85" t="s">
        <v>3</v>
      </c>
      <c r="C94" s="85" t="s">
        <v>42</v>
      </c>
      <c r="D94" s="86" t="s">
        <v>43</v>
      </c>
      <c r="E94" s="87" t="s">
        <v>11</v>
      </c>
      <c r="H94" s="82"/>
    </row>
    <row r="95" ht="15.75" customHeight="1">
      <c r="A95" s="45"/>
      <c r="E95" s="64"/>
      <c r="H95" s="82"/>
    </row>
    <row r="96" ht="15.75" customHeight="1">
      <c r="A96" s="88">
        <v>1.0</v>
      </c>
      <c r="B96" s="89"/>
      <c r="C96" s="90"/>
      <c r="D96" s="90">
        <v>0.0</v>
      </c>
      <c r="E96" s="56">
        <f>D96*200</f>
        <v>0</v>
      </c>
      <c r="H96" s="82"/>
    </row>
    <row r="97" ht="18.75" customHeight="1">
      <c r="A97" s="91"/>
      <c r="B97" s="92"/>
      <c r="C97" s="92"/>
      <c r="D97" s="92"/>
      <c r="E97" s="35"/>
      <c r="G97" s="28"/>
      <c r="H97" s="82"/>
    </row>
    <row r="98" ht="15.75" customHeight="1">
      <c r="A98" s="52"/>
      <c r="B98" s="52"/>
      <c r="C98" s="52"/>
      <c r="D98" s="52"/>
      <c r="E98" s="52"/>
      <c r="H98" s="82"/>
    </row>
    <row r="99" ht="15.75" customHeight="1">
      <c r="H99" s="82"/>
    </row>
    <row r="100" ht="15.75" customHeight="1">
      <c r="A100" s="5" t="s">
        <v>44</v>
      </c>
      <c r="B100" s="2"/>
      <c r="C100" s="2"/>
      <c r="D100" s="2"/>
      <c r="E100" s="2"/>
      <c r="F100" s="3"/>
    </row>
    <row r="101" ht="15.75" customHeight="1">
      <c r="F101" s="83"/>
    </row>
    <row r="102" ht="15.75" customHeight="1">
      <c r="A102" s="84" t="s">
        <v>39</v>
      </c>
      <c r="B102" s="85" t="s">
        <v>3</v>
      </c>
      <c r="C102" s="86" t="s">
        <v>45</v>
      </c>
      <c r="D102" s="86" t="s">
        <v>46</v>
      </c>
      <c r="E102" s="85" t="s">
        <v>10</v>
      </c>
      <c r="F102" s="87" t="s">
        <v>11</v>
      </c>
    </row>
    <row r="103" ht="15.75" customHeight="1">
      <c r="A103" s="68"/>
      <c r="B103" s="28"/>
      <c r="C103" s="28"/>
      <c r="D103" s="28"/>
      <c r="E103" s="28"/>
      <c r="F103" s="70"/>
      <c r="H103" s="6"/>
    </row>
    <row r="104" ht="15.75" customHeight="1">
      <c r="A104" s="22">
        <v>1.0</v>
      </c>
      <c r="B104" s="29"/>
      <c r="C104" s="24" t="s">
        <v>24</v>
      </c>
      <c r="D104" s="24">
        <v>1.0</v>
      </c>
      <c r="E104" s="25">
        <f t="shared" ref="E104:E109" si="5">D104*50</f>
        <v>50</v>
      </c>
      <c r="F104" s="43">
        <f>SUM(E104,E105,E106,E107,E108,E109)</f>
        <v>300</v>
      </c>
      <c r="H104" s="8"/>
    </row>
    <row r="105" ht="15.75" customHeight="1">
      <c r="A105" s="22">
        <v>2.0</v>
      </c>
      <c r="B105" s="29"/>
      <c r="C105" s="24" t="s">
        <v>25</v>
      </c>
      <c r="D105" s="24">
        <v>1.0</v>
      </c>
      <c r="E105" s="25">
        <f t="shared" si="5"/>
        <v>50</v>
      </c>
      <c r="F105" s="30"/>
      <c r="H105" s="16"/>
    </row>
    <row r="106" ht="15.75" customHeight="1">
      <c r="A106" s="22">
        <v>3.0</v>
      </c>
      <c r="B106" s="29"/>
      <c r="C106" s="24" t="s">
        <v>27</v>
      </c>
      <c r="D106" s="24">
        <v>1.0</v>
      </c>
      <c r="E106" s="25">
        <f t="shared" si="5"/>
        <v>50</v>
      </c>
      <c r="F106" s="30"/>
      <c r="H106" s="16"/>
    </row>
    <row r="107" ht="18.0" customHeight="1">
      <c r="A107" s="22">
        <v>4.0</v>
      </c>
      <c r="B107" s="29"/>
      <c r="C107" s="24" t="s">
        <v>47</v>
      </c>
      <c r="D107" s="24">
        <v>1.0</v>
      </c>
      <c r="E107" s="25">
        <f t="shared" si="5"/>
        <v>50</v>
      </c>
      <c r="F107" s="30"/>
      <c r="G107" s="93"/>
      <c r="H107" s="82"/>
    </row>
    <row r="108" ht="15.75" customHeight="1">
      <c r="A108" s="22">
        <v>5.0</v>
      </c>
      <c r="B108" s="25"/>
      <c r="C108" s="24" t="s">
        <v>48</v>
      </c>
      <c r="D108" s="24">
        <v>1.0</v>
      </c>
      <c r="E108" s="25">
        <f t="shared" si="5"/>
        <v>50</v>
      </c>
      <c r="F108" s="30"/>
      <c r="H108" s="82"/>
    </row>
    <row r="109" ht="15.75" customHeight="1">
      <c r="A109" s="32">
        <v>6.0</v>
      </c>
      <c r="B109" s="33"/>
      <c r="C109" s="80" t="s">
        <v>28</v>
      </c>
      <c r="D109" s="80">
        <v>1.0</v>
      </c>
      <c r="E109" s="33">
        <f t="shared" si="5"/>
        <v>50</v>
      </c>
      <c r="F109" s="35"/>
      <c r="G109" s="50"/>
      <c r="H109" s="82"/>
    </row>
    <row r="110" ht="15.0" customHeight="1">
      <c r="H110" s="82"/>
    </row>
    <row r="111" ht="15.0" customHeight="1">
      <c r="G111" s="52"/>
      <c r="H111" s="82"/>
    </row>
    <row r="112" ht="27.0" customHeight="1">
      <c r="G112" s="52"/>
      <c r="H112" s="82"/>
    </row>
    <row r="113" ht="15.75" customHeight="1">
      <c r="G113" s="52"/>
    </row>
    <row r="114" ht="69.75" customHeight="1">
      <c r="G114" s="52"/>
    </row>
    <row r="115" ht="15.75" customHeight="1">
      <c r="G115" s="52"/>
    </row>
    <row r="116" ht="15.75" customHeight="1">
      <c r="G116" s="52"/>
    </row>
    <row r="117" ht="15.75" customHeight="1">
      <c r="A117" s="44" t="s">
        <v>49</v>
      </c>
      <c r="B117" s="2"/>
      <c r="C117" s="3"/>
    </row>
    <row r="118" ht="15.75" customHeight="1">
      <c r="A118" s="45"/>
      <c r="C118" s="64"/>
    </row>
    <row r="119" ht="15.75" customHeight="1">
      <c r="A119" s="46" t="s">
        <v>2</v>
      </c>
      <c r="B119" s="48" t="s">
        <v>50</v>
      </c>
      <c r="C119" s="94" t="s">
        <v>51</v>
      </c>
      <c r="G119" s="93"/>
    </row>
    <row r="120" ht="15.75" customHeight="1">
      <c r="A120" s="38"/>
      <c r="B120" s="40"/>
      <c r="C120" s="41"/>
    </row>
    <row r="121" ht="20.25" customHeight="1">
      <c r="A121" s="22">
        <v>1.0</v>
      </c>
      <c r="B121" s="25" t="s">
        <v>52</v>
      </c>
      <c r="C121" s="95" t="str">
        <f>K8</f>
        <v/>
      </c>
      <c r="G121" s="50"/>
    </row>
    <row r="122" ht="15.75" customHeight="1">
      <c r="A122" s="22">
        <v>2.0</v>
      </c>
      <c r="B122" s="25" t="s">
        <v>53</v>
      </c>
      <c r="C122" s="95">
        <f>F22</f>
        <v>500</v>
      </c>
      <c r="G122" s="28"/>
    </row>
    <row r="123" ht="15.75" customHeight="1">
      <c r="A123" s="22">
        <v>3.0</v>
      </c>
      <c r="B123" s="25" t="s">
        <v>54</v>
      </c>
      <c r="C123" s="95">
        <f>E36</f>
        <v>300</v>
      </c>
      <c r="G123" s="28"/>
    </row>
    <row r="124" ht="15.75" customHeight="1">
      <c r="A124" s="22">
        <v>4.0</v>
      </c>
      <c r="B124" s="96" t="s">
        <v>55</v>
      </c>
      <c r="C124" s="95">
        <f>E49</f>
        <v>100</v>
      </c>
      <c r="G124" s="28"/>
    </row>
    <row r="125" ht="15.75" customHeight="1">
      <c r="A125" s="22">
        <v>5.0</v>
      </c>
      <c r="B125" s="96" t="s">
        <v>56</v>
      </c>
      <c r="C125" s="95">
        <f>F63</f>
        <v>500</v>
      </c>
      <c r="G125" s="28"/>
    </row>
    <row r="126" ht="15.75" customHeight="1">
      <c r="A126" s="22">
        <v>6.0</v>
      </c>
      <c r="B126" s="96" t="s">
        <v>57</v>
      </c>
      <c r="C126" s="95">
        <f>F76</f>
        <v>0</v>
      </c>
      <c r="G126" s="28"/>
    </row>
    <row r="127" ht="15.75" customHeight="1">
      <c r="A127" s="22">
        <v>7.0</v>
      </c>
      <c r="B127" s="96" t="s">
        <v>58</v>
      </c>
      <c r="C127" s="95">
        <f>D89</f>
        <v>200</v>
      </c>
      <c r="G127" s="28"/>
    </row>
    <row r="128" ht="15.75" customHeight="1">
      <c r="A128" s="22">
        <v>8.0</v>
      </c>
      <c r="B128" s="96" t="s">
        <v>59</v>
      </c>
      <c r="C128" s="95">
        <f>E96</f>
        <v>0</v>
      </c>
      <c r="G128" s="28"/>
    </row>
    <row r="129" ht="15.75" customHeight="1">
      <c r="A129" s="22">
        <v>9.0</v>
      </c>
      <c r="B129" s="96" t="s">
        <v>60</v>
      </c>
      <c r="C129" s="95">
        <f>F104</f>
        <v>300</v>
      </c>
      <c r="H129" s="6"/>
    </row>
    <row r="130" ht="15.75" customHeight="1">
      <c r="A130" s="22">
        <v>10.0</v>
      </c>
      <c r="B130" s="96" t="s">
        <v>61</v>
      </c>
      <c r="C130" s="95"/>
    </row>
    <row r="131" ht="15.75" customHeight="1">
      <c r="A131" s="22"/>
      <c r="B131" s="25"/>
      <c r="C131" s="95"/>
      <c r="H131" s="50"/>
    </row>
    <row r="132" ht="15.75" customHeight="1">
      <c r="A132" s="97" t="s">
        <v>62</v>
      </c>
      <c r="B132" s="98"/>
      <c r="C132" s="99">
        <f>SUM(C121:C130)</f>
        <v>1900</v>
      </c>
      <c r="H132" s="82"/>
    </row>
    <row r="133" ht="15.75" customHeight="1">
      <c r="H133" s="82"/>
    </row>
    <row r="134" ht="18.75" customHeight="1">
      <c r="H134" s="82"/>
    </row>
    <row r="135" ht="15.75" customHeight="1">
      <c r="H135" s="82"/>
    </row>
    <row r="136" ht="15.75" customHeight="1">
      <c r="H136" s="82"/>
    </row>
    <row r="137" ht="15.75" customHeight="1"/>
    <row r="138" ht="15.75" customHeight="1">
      <c r="H138" s="28"/>
    </row>
    <row r="139" ht="15.75" customHeight="1"/>
    <row r="140" ht="15.75" customHeight="1"/>
    <row r="141" ht="15.75" customHeight="1"/>
    <row r="142" ht="15.0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J1"/>
    <mergeCell ref="A4:J4"/>
    <mergeCell ref="J8:J15"/>
    <mergeCell ref="K8:K15"/>
    <mergeCell ref="A18:F18"/>
    <mergeCell ref="F22:F29"/>
    <mergeCell ref="A32:E32"/>
    <mergeCell ref="D36:D42"/>
    <mergeCell ref="E36:E42"/>
    <mergeCell ref="F36:F42"/>
    <mergeCell ref="A45:E45"/>
    <mergeCell ref="D49:D56"/>
    <mergeCell ref="E49:E56"/>
    <mergeCell ref="A59:F59"/>
    <mergeCell ref="F104:F109"/>
    <mergeCell ref="A117:C117"/>
    <mergeCell ref="A132:B132"/>
    <mergeCell ref="F63:F69"/>
    <mergeCell ref="A72:F72"/>
    <mergeCell ref="F76:F82"/>
    <mergeCell ref="A85:D85"/>
    <mergeCell ref="A92:E92"/>
    <mergeCell ref="E96:E97"/>
    <mergeCell ref="A100:F10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7.43"/>
    <col customWidth="1" min="3" max="3" width="24.86"/>
    <col customWidth="1" min="4" max="4" width="32.14"/>
    <col customWidth="1" min="5" max="5" width="28.86"/>
    <col customWidth="1" min="6" max="6" width="29.29"/>
    <col customWidth="1" min="7" max="7" width="23.43"/>
    <col customWidth="1" min="8" max="8" width="23.0"/>
    <col customWidth="1" min="9" max="9" width="16.71"/>
    <col customWidth="1" min="10" max="10" width="14.0"/>
    <col customWidth="1" min="1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4">
      <c r="A4" s="5" t="s">
        <v>1</v>
      </c>
      <c r="B4" s="2"/>
      <c r="C4" s="2"/>
      <c r="D4" s="2"/>
      <c r="E4" s="2"/>
      <c r="F4" s="2"/>
      <c r="G4" s="2"/>
      <c r="H4" s="2"/>
      <c r="I4" s="2"/>
      <c r="J4" s="3"/>
    </row>
    <row r="5">
      <c r="A5" s="7"/>
      <c r="B5" s="8"/>
      <c r="C5" s="8"/>
      <c r="D5" s="8"/>
      <c r="E5" s="8"/>
      <c r="F5" s="8"/>
      <c r="G5" s="8"/>
      <c r="H5" s="9"/>
      <c r="J5" s="10"/>
    </row>
    <row r="6" ht="57.75" customHeight="1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63</v>
      </c>
      <c r="I6" s="13" t="s">
        <v>10</v>
      </c>
      <c r="J6" s="15" t="s">
        <v>11</v>
      </c>
    </row>
    <row r="7" ht="18.0" customHeight="1">
      <c r="A7" s="17"/>
      <c r="B7" s="18"/>
      <c r="C7" s="19"/>
      <c r="D7" s="19"/>
      <c r="E7" s="19"/>
      <c r="F7" s="19"/>
      <c r="G7" s="19"/>
      <c r="H7" s="19"/>
      <c r="I7" s="19"/>
      <c r="J7" s="100"/>
    </row>
    <row r="8">
      <c r="A8" s="22">
        <v>1.0</v>
      </c>
      <c r="B8" s="25"/>
      <c r="C8" s="25"/>
      <c r="D8" s="25"/>
      <c r="E8" s="25"/>
      <c r="F8" s="25"/>
      <c r="G8" s="25"/>
      <c r="H8" s="25"/>
      <c r="I8" s="101">
        <f t="shared" ref="I8:I15" si="1">SUM((E8*300)+(F8*200)+(G8*50)+(H8*0))</f>
        <v>0</v>
      </c>
      <c r="J8" s="43">
        <f>SUM(I8:I15)</f>
        <v>0</v>
      </c>
    </row>
    <row r="9">
      <c r="A9" s="22"/>
      <c r="B9" s="25"/>
      <c r="C9" s="25"/>
      <c r="D9" s="25"/>
      <c r="E9" s="25"/>
      <c r="F9" s="25"/>
      <c r="G9" s="25"/>
      <c r="H9" s="25"/>
      <c r="I9" s="101">
        <f t="shared" si="1"/>
        <v>0</v>
      </c>
      <c r="J9" s="30"/>
    </row>
    <row r="10">
      <c r="A10" s="22"/>
      <c r="B10" s="25"/>
      <c r="C10" s="25"/>
      <c r="D10" s="25"/>
      <c r="E10" s="25"/>
      <c r="F10" s="25"/>
      <c r="G10" s="25"/>
      <c r="H10" s="25"/>
      <c r="I10" s="101">
        <f t="shared" si="1"/>
        <v>0</v>
      </c>
      <c r="J10" s="30"/>
    </row>
    <row r="11">
      <c r="A11" s="22"/>
      <c r="B11" s="25"/>
      <c r="C11" s="25"/>
      <c r="D11" s="25"/>
      <c r="E11" s="25"/>
      <c r="F11" s="25"/>
      <c r="G11" s="25"/>
      <c r="H11" s="25"/>
      <c r="I11" s="101">
        <f t="shared" si="1"/>
        <v>0</v>
      </c>
      <c r="J11" s="30"/>
    </row>
    <row r="12">
      <c r="A12" s="22"/>
      <c r="B12" s="25"/>
      <c r="C12" s="25"/>
      <c r="D12" s="25"/>
      <c r="E12" s="25"/>
      <c r="F12" s="25"/>
      <c r="G12" s="25"/>
      <c r="H12" s="25"/>
      <c r="I12" s="101">
        <f t="shared" si="1"/>
        <v>0</v>
      </c>
      <c r="J12" s="30"/>
    </row>
    <row r="13">
      <c r="A13" s="22"/>
      <c r="B13" s="25"/>
      <c r="C13" s="25"/>
      <c r="D13" s="25"/>
      <c r="E13" s="25"/>
      <c r="F13" s="25"/>
      <c r="G13" s="25"/>
      <c r="H13" s="25"/>
      <c r="I13" s="101">
        <f t="shared" si="1"/>
        <v>0</v>
      </c>
      <c r="J13" s="30"/>
    </row>
    <row r="14">
      <c r="A14" s="22"/>
      <c r="B14" s="25"/>
      <c r="C14" s="25"/>
      <c r="D14" s="25"/>
      <c r="E14" s="25"/>
      <c r="F14" s="25"/>
      <c r="G14" s="25"/>
      <c r="H14" s="25"/>
      <c r="I14" s="101">
        <f t="shared" si="1"/>
        <v>0</v>
      </c>
      <c r="J14" s="30"/>
    </row>
    <row r="15">
      <c r="A15" s="32"/>
      <c r="B15" s="33"/>
      <c r="C15" s="33"/>
      <c r="D15" s="33"/>
      <c r="E15" s="33"/>
      <c r="F15" s="33"/>
      <c r="G15" s="33"/>
      <c r="H15" s="33"/>
      <c r="I15" s="102">
        <f t="shared" si="1"/>
        <v>0</v>
      </c>
      <c r="J15" s="35"/>
    </row>
    <row r="18">
      <c r="A18" s="5" t="s">
        <v>18</v>
      </c>
      <c r="B18" s="2"/>
      <c r="C18" s="2"/>
      <c r="D18" s="2"/>
      <c r="E18" s="2"/>
      <c r="F18" s="3"/>
    </row>
    <row r="19">
      <c r="A19" s="7"/>
      <c r="B19" s="8"/>
      <c r="C19" s="8"/>
      <c r="D19" s="8"/>
      <c r="E19" s="8"/>
      <c r="F19" s="37"/>
    </row>
    <row r="20">
      <c r="A20" s="11" t="s">
        <v>2</v>
      </c>
      <c r="B20" s="12" t="s">
        <v>3</v>
      </c>
      <c r="C20" s="13" t="s">
        <v>19</v>
      </c>
      <c r="D20" s="13" t="s">
        <v>20</v>
      </c>
      <c r="E20" s="13" t="s">
        <v>10</v>
      </c>
      <c r="F20" s="15" t="s">
        <v>11</v>
      </c>
    </row>
    <row r="21" ht="15.75" customHeight="1">
      <c r="A21" s="38"/>
      <c r="B21" s="39"/>
      <c r="C21" s="40"/>
      <c r="D21" s="40"/>
      <c r="E21" s="40"/>
      <c r="F21" s="41"/>
    </row>
    <row r="22" ht="15.75" customHeight="1">
      <c r="A22" s="22"/>
      <c r="B22" s="25"/>
      <c r="C22" s="25"/>
      <c r="D22" s="25"/>
      <c r="E22" s="25">
        <f t="shared" ref="E22:E29" si="2">(D22*500)</f>
        <v>0</v>
      </c>
      <c r="F22" s="43">
        <f>SUM(E22:E29)</f>
        <v>0</v>
      </c>
    </row>
    <row r="23" ht="15.75" customHeight="1">
      <c r="A23" s="22"/>
      <c r="B23" s="25"/>
      <c r="C23" s="25"/>
      <c r="D23" s="25"/>
      <c r="E23" s="25">
        <f t="shared" si="2"/>
        <v>0</v>
      </c>
      <c r="F23" s="30"/>
    </row>
    <row r="24" ht="15.75" customHeight="1">
      <c r="A24" s="22"/>
      <c r="B24" s="25"/>
      <c r="C24" s="25"/>
      <c r="D24" s="25"/>
      <c r="E24" s="25">
        <f t="shared" si="2"/>
        <v>0</v>
      </c>
      <c r="F24" s="30"/>
    </row>
    <row r="25" ht="15.75" customHeight="1">
      <c r="A25" s="22"/>
      <c r="B25" s="25"/>
      <c r="C25" s="25"/>
      <c r="D25" s="25"/>
      <c r="E25" s="25">
        <f t="shared" si="2"/>
        <v>0</v>
      </c>
      <c r="F25" s="30"/>
    </row>
    <row r="26" ht="15.75" customHeight="1">
      <c r="A26" s="22"/>
      <c r="B26" s="25"/>
      <c r="C26" s="25"/>
      <c r="D26" s="25"/>
      <c r="E26" s="25">
        <f t="shared" si="2"/>
        <v>0</v>
      </c>
      <c r="F26" s="30"/>
    </row>
    <row r="27" ht="15.75" customHeight="1">
      <c r="A27" s="22"/>
      <c r="B27" s="25"/>
      <c r="C27" s="25"/>
      <c r="D27" s="25"/>
      <c r="E27" s="25">
        <f t="shared" si="2"/>
        <v>0</v>
      </c>
      <c r="F27" s="30"/>
    </row>
    <row r="28" ht="15.75" customHeight="1">
      <c r="A28" s="22"/>
      <c r="B28" s="25"/>
      <c r="C28" s="25"/>
      <c r="D28" s="25"/>
      <c r="E28" s="25">
        <f t="shared" si="2"/>
        <v>0</v>
      </c>
      <c r="F28" s="30"/>
    </row>
    <row r="29" ht="15.75" customHeight="1">
      <c r="A29" s="32"/>
      <c r="B29" s="33"/>
      <c r="C29" s="33"/>
      <c r="D29" s="33"/>
      <c r="E29" s="33">
        <f t="shared" si="2"/>
        <v>0</v>
      </c>
      <c r="F29" s="35"/>
    </row>
    <row r="30" ht="15.75" customHeight="1"/>
    <row r="31" ht="15.75" customHeight="1"/>
    <row r="32" ht="15.75" customHeight="1">
      <c r="A32" s="5" t="s">
        <v>64</v>
      </c>
      <c r="B32" s="2"/>
      <c r="C32" s="2"/>
      <c r="D32" s="2"/>
      <c r="E32" s="2"/>
      <c r="F32" s="2"/>
      <c r="G32" s="2"/>
      <c r="H32" s="3"/>
    </row>
    <row r="33" ht="15.75" customHeight="1">
      <c r="A33" s="7"/>
      <c r="B33" s="8"/>
      <c r="C33" s="8"/>
      <c r="D33" s="8"/>
      <c r="E33" s="8"/>
      <c r="F33" s="8"/>
      <c r="G33" s="8"/>
      <c r="H33" s="37"/>
    </row>
    <row r="34" ht="15.75" customHeight="1">
      <c r="A34" s="46" t="s">
        <v>2</v>
      </c>
      <c r="B34" s="47" t="s">
        <v>3</v>
      </c>
      <c r="C34" s="48" t="s">
        <v>34</v>
      </c>
      <c r="D34" s="48" t="s">
        <v>65</v>
      </c>
      <c r="E34" s="48" t="s">
        <v>66</v>
      </c>
      <c r="F34" s="48" t="s">
        <v>67</v>
      </c>
      <c r="G34" s="48" t="s">
        <v>10</v>
      </c>
      <c r="H34" s="94" t="s">
        <v>11</v>
      </c>
    </row>
    <row r="35" ht="15.75" customHeight="1">
      <c r="A35" s="16"/>
      <c r="B35" s="50"/>
      <c r="C35" s="16"/>
      <c r="D35" s="16"/>
      <c r="E35" s="16"/>
      <c r="F35" s="16"/>
      <c r="G35" s="16"/>
      <c r="H35" s="41"/>
    </row>
    <row r="36" ht="15.75" customHeight="1">
      <c r="A36" s="22"/>
      <c r="B36" s="25"/>
      <c r="C36" s="25"/>
      <c r="D36" s="25"/>
      <c r="E36" s="25"/>
      <c r="F36" s="25"/>
      <c r="G36" s="25">
        <f t="shared" ref="G36:G43" si="3">SUM((D36*50)+(E36*100)+(F36*150))</f>
        <v>0</v>
      </c>
      <c r="H36" s="43">
        <f>SUM(G36:G43)</f>
        <v>0</v>
      </c>
    </row>
    <row r="37" ht="15.75" customHeight="1">
      <c r="A37" s="22"/>
      <c r="B37" s="29"/>
      <c r="C37" s="25"/>
      <c r="D37" s="25"/>
      <c r="E37" s="25"/>
      <c r="F37" s="25"/>
      <c r="G37" s="25">
        <f t="shared" si="3"/>
        <v>0</v>
      </c>
      <c r="H37" s="30"/>
    </row>
    <row r="38" ht="15.75" customHeight="1">
      <c r="A38" s="22"/>
      <c r="B38" s="29"/>
      <c r="C38" s="25"/>
      <c r="D38" s="25"/>
      <c r="E38" s="25"/>
      <c r="F38" s="25"/>
      <c r="G38" s="25">
        <f t="shared" si="3"/>
        <v>0</v>
      </c>
      <c r="H38" s="30"/>
    </row>
    <row r="39" ht="15.75" customHeight="1">
      <c r="A39" s="22"/>
      <c r="B39" s="29"/>
      <c r="C39" s="25"/>
      <c r="D39" s="25"/>
      <c r="E39" s="25"/>
      <c r="F39" s="25"/>
      <c r="G39" s="25">
        <f t="shared" si="3"/>
        <v>0</v>
      </c>
      <c r="H39" s="30"/>
    </row>
    <row r="40" ht="15.75" customHeight="1">
      <c r="A40" s="22"/>
      <c r="B40" s="29"/>
      <c r="C40" s="25"/>
      <c r="D40" s="25"/>
      <c r="E40" s="25"/>
      <c r="F40" s="25"/>
      <c r="G40" s="25">
        <f t="shared" si="3"/>
        <v>0</v>
      </c>
      <c r="H40" s="30"/>
    </row>
    <row r="41" ht="15.75" customHeight="1">
      <c r="A41" s="22"/>
      <c r="B41" s="29"/>
      <c r="C41" s="25"/>
      <c r="D41" s="25"/>
      <c r="E41" s="25"/>
      <c r="F41" s="25"/>
      <c r="G41" s="25">
        <f t="shared" si="3"/>
        <v>0</v>
      </c>
      <c r="H41" s="30"/>
    </row>
    <row r="42" ht="15.75" customHeight="1">
      <c r="A42" s="22"/>
      <c r="B42" s="29"/>
      <c r="C42" s="25"/>
      <c r="D42" s="25"/>
      <c r="E42" s="25"/>
      <c r="F42" s="25"/>
      <c r="G42" s="25">
        <f t="shared" si="3"/>
        <v>0</v>
      </c>
      <c r="H42" s="30"/>
    </row>
    <row r="43" ht="15.75" customHeight="1">
      <c r="A43" s="32"/>
      <c r="B43" s="62"/>
      <c r="C43" s="33"/>
      <c r="D43" s="33"/>
      <c r="E43" s="33"/>
      <c r="F43" s="33"/>
      <c r="G43" s="33">
        <f t="shared" si="3"/>
        <v>0</v>
      </c>
      <c r="H43" s="35"/>
    </row>
    <row r="44" ht="15.75" customHeight="1"/>
    <row r="45" ht="15.75" customHeight="1"/>
    <row r="46" ht="15.75" customHeight="1">
      <c r="A46" s="5" t="s">
        <v>68</v>
      </c>
      <c r="B46" s="2"/>
      <c r="C46" s="2"/>
      <c r="D46" s="2"/>
      <c r="E46" s="2"/>
      <c r="F46" s="2"/>
      <c r="G46" s="2"/>
      <c r="H46" s="2"/>
      <c r="I46" s="3"/>
    </row>
    <row r="47" ht="15.75" customHeight="1">
      <c r="A47" s="45"/>
      <c r="I47" s="72"/>
    </row>
    <row r="48" ht="15.75" customHeight="1">
      <c r="A48" s="46" t="s">
        <v>2</v>
      </c>
      <c r="B48" s="47" t="s">
        <v>3</v>
      </c>
      <c r="C48" s="48" t="s">
        <v>34</v>
      </c>
      <c r="D48" s="48" t="s">
        <v>65</v>
      </c>
      <c r="E48" s="48" t="s">
        <v>69</v>
      </c>
      <c r="F48" s="48" t="s">
        <v>70</v>
      </c>
      <c r="G48" s="48" t="s">
        <v>71</v>
      </c>
      <c r="H48" s="103" t="s">
        <v>10</v>
      </c>
      <c r="I48" s="94" t="s">
        <v>11</v>
      </c>
    </row>
    <row r="49" ht="15.75" customHeight="1">
      <c r="A49" s="51"/>
      <c r="B49" s="52"/>
      <c r="C49" s="52"/>
      <c r="D49" s="52"/>
      <c r="E49" s="52"/>
      <c r="F49" s="52"/>
      <c r="G49" s="52"/>
      <c r="H49" s="52"/>
      <c r="I49" s="64"/>
    </row>
    <row r="50" ht="15.75" customHeight="1">
      <c r="A50" s="104"/>
      <c r="B50" s="105"/>
      <c r="C50" s="96"/>
      <c r="D50" s="96"/>
      <c r="E50" s="96"/>
      <c r="F50" s="96"/>
      <c r="G50" s="25"/>
      <c r="H50" s="26">
        <f t="shared" ref="H50:H62" si="4">((D50*50)+(E50*150)+(F50*200)+(G50*300))</f>
        <v>0</v>
      </c>
      <c r="I50" s="43">
        <f>SUM(H50:H62)</f>
        <v>0</v>
      </c>
    </row>
    <row r="51" ht="15.75" customHeight="1">
      <c r="A51" s="104"/>
      <c r="B51" s="105"/>
      <c r="C51" s="96"/>
      <c r="D51" s="96"/>
      <c r="E51" s="96"/>
      <c r="F51" s="96"/>
      <c r="G51" s="25"/>
      <c r="H51" s="26">
        <f t="shared" si="4"/>
        <v>0</v>
      </c>
      <c r="I51" s="30"/>
    </row>
    <row r="52" ht="15.75" customHeight="1">
      <c r="A52" s="104"/>
      <c r="B52" s="105"/>
      <c r="C52" s="96"/>
      <c r="D52" s="96"/>
      <c r="E52" s="96"/>
      <c r="F52" s="96"/>
      <c r="G52" s="25"/>
      <c r="H52" s="26">
        <f t="shared" si="4"/>
        <v>0</v>
      </c>
      <c r="I52" s="30"/>
    </row>
    <row r="53" ht="15.75" customHeight="1">
      <c r="A53" s="104"/>
      <c r="B53" s="105"/>
      <c r="C53" s="96"/>
      <c r="D53" s="96"/>
      <c r="E53" s="96"/>
      <c r="F53" s="96"/>
      <c r="G53" s="25"/>
      <c r="H53" s="26">
        <f t="shared" si="4"/>
        <v>0</v>
      </c>
      <c r="I53" s="30"/>
    </row>
    <row r="54" ht="15.75" customHeight="1">
      <c r="A54" s="104"/>
      <c r="B54" s="105"/>
      <c r="C54" s="96"/>
      <c r="D54" s="96"/>
      <c r="E54" s="96"/>
      <c r="F54" s="96"/>
      <c r="G54" s="25"/>
      <c r="H54" s="26">
        <f t="shared" si="4"/>
        <v>0</v>
      </c>
      <c r="I54" s="30"/>
    </row>
    <row r="55" ht="15.75" customHeight="1">
      <c r="A55" s="104"/>
      <c r="B55" s="105"/>
      <c r="C55" s="96"/>
      <c r="D55" s="96"/>
      <c r="E55" s="96"/>
      <c r="F55" s="96"/>
      <c r="G55" s="25"/>
      <c r="H55" s="26">
        <f t="shared" si="4"/>
        <v>0</v>
      </c>
      <c r="I55" s="30"/>
    </row>
    <row r="56" ht="15.75" customHeight="1">
      <c r="A56" s="104"/>
      <c r="B56" s="105"/>
      <c r="C56" s="96"/>
      <c r="D56" s="96"/>
      <c r="E56" s="96"/>
      <c r="F56" s="96"/>
      <c r="G56" s="25"/>
      <c r="H56" s="26">
        <f t="shared" si="4"/>
        <v>0</v>
      </c>
      <c r="I56" s="30"/>
    </row>
    <row r="57" ht="15.75" customHeight="1">
      <c r="A57" s="104"/>
      <c r="B57" s="105"/>
      <c r="C57" s="96"/>
      <c r="D57" s="96"/>
      <c r="E57" s="96"/>
      <c r="F57" s="96"/>
      <c r="G57" s="25"/>
      <c r="H57" s="26">
        <f t="shared" si="4"/>
        <v>0</v>
      </c>
      <c r="I57" s="30"/>
    </row>
    <row r="58" ht="15.75" customHeight="1">
      <c r="A58" s="104"/>
      <c r="B58" s="105"/>
      <c r="C58" s="96"/>
      <c r="D58" s="96"/>
      <c r="E58" s="96"/>
      <c r="F58" s="96"/>
      <c r="G58" s="25"/>
      <c r="H58" s="26">
        <f t="shared" si="4"/>
        <v>0</v>
      </c>
      <c r="I58" s="30"/>
    </row>
    <row r="59" ht="15.75" customHeight="1">
      <c r="A59" s="104"/>
      <c r="B59" s="105"/>
      <c r="C59" s="96"/>
      <c r="D59" s="96"/>
      <c r="E59" s="96"/>
      <c r="F59" s="96"/>
      <c r="G59" s="25"/>
      <c r="H59" s="26">
        <f t="shared" si="4"/>
        <v>0</v>
      </c>
      <c r="I59" s="30"/>
    </row>
    <row r="60" ht="15.75" customHeight="1">
      <c r="A60" s="104"/>
      <c r="B60" s="105"/>
      <c r="C60" s="96"/>
      <c r="D60" s="96"/>
      <c r="E60" s="96"/>
      <c r="F60" s="96"/>
      <c r="G60" s="25"/>
      <c r="H60" s="26">
        <f t="shared" si="4"/>
        <v>0</v>
      </c>
      <c r="I60" s="30"/>
    </row>
    <row r="61" ht="15.75" customHeight="1">
      <c r="A61" s="104"/>
      <c r="B61" s="105"/>
      <c r="C61" s="96"/>
      <c r="D61" s="96"/>
      <c r="E61" s="96"/>
      <c r="F61" s="96"/>
      <c r="G61" s="25"/>
      <c r="H61" s="26">
        <f t="shared" si="4"/>
        <v>0</v>
      </c>
      <c r="I61" s="30"/>
    </row>
    <row r="62" ht="15.75" customHeight="1">
      <c r="A62" s="106"/>
      <c r="B62" s="107"/>
      <c r="C62" s="102"/>
      <c r="D62" s="33"/>
      <c r="E62" s="33"/>
      <c r="F62" s="33"/>
      <c r="G62" s="33"/>
      <c r="H62" s="34">
        <f t="shared" si="4"/>
        <v>0</v>
      </c>
      <c r="I62" s="35"/>
    </row>
    <row r="63" ht="15.75" customHeight="1"/>
    <row r="64" ht="15.75" customHeight="1"/>
    <row r="65" ht="15.75" customHeight="1">
      <c r="A65" s="5" t="s">
        <v>72</v>
      </c>
      <c r="B65" s="2"/>
      <c r="C65" s="2"/>
      <c r="D65" s="2"/>
      <c r="E65" s="2"/>
      <c r="F65" s="2"/>
      <c r="G65" s="3"/>
    </row>
    <row r="66" ht="15.75" customHeight="1">
      <c r="A66" s="7"/>
      <c r="B66" s="8"/>
      <c r="C66" s="8"/>
      <c r="D66" s="8"/>
      <c r="E66" s="8"/>
      <c r="F66" s="108"/>
      <c r="G66" s="109"/>
    </row>
    <row r="67" ht="15.75" customHeight="1">
      <c r="A67" s="11" t="s">
        <v>2</v>
      </c>
      <c r="B67" s="12" t="s">
        <v>3</v>
      </c>
      <c r="C67" s="13" t="s">
        <v>45</v>
      </c>
      <c r="D67" s="13" t="s">
        <v>73</v>
      </c>
      <c r="E67" s="13" t="s">
        <v>74</v>
      </c>
      <c r="F67" s="13" t="s">
        <v>10</v>
      </c>
      <c r="G67" s="15" t="s">
        <v>11</v>
      </c>
    </row>
    <row r="68" ht="15.75" customHeight="1">
      <c r="A68" s="11"/>
      <c r="B68" s="12"/>
      <c r="C68" s="13"/>
      <c r="D68" s="13"/>
      <c r="E68" s="13"/>
      <c r="F68" s="13"/>
      <c r="G68" s="15"/>
    </row>
    <row r="69" ht="15.75" customHeight="1">
      <c r="A69" s="22"/>
      <c r="B69" s="25"/>
      <c r="C69" s="25"/>
      <c r="D69" s="25"/>
      <c r="E69" s="25"/>
      <c r="F69" s="25">
        <f t="shared" ref="F69:F76" si="5">(D69*200)</f>
        <v>0</v>
      </c>
      <c r="G69" s="43">
        <f>SUM(F69*76)</f>
        <v>0</v>
      </c>
    </row>
    <row r="70" ht="15.75" customHeight="1">
      <c r="A70" s="22"/>
      <c r="B70" s="25"/>
      <c r="C70" s="25"/>
      <c r="D70" s="25"/>
      <c r="E70" s="25"/>
      <c r="F70" s="25">
        <f t="shared" si="5"/>
        <v>0</v>
      </c>
      <c r="G70" s="30"/>
    </row>
    <row r="71" ht="15.75" customHeight="1">
      <c r="A71" s="22"/>
      <c r="B71" s="25"/>
      <c r="C71" s="25"/>
      <c r="D71" s="25"/>
      <c r="E71" s="25"/>
      <c r="F71" s="25">
        <f t="shared" si="5"/>
        <v>0</v>
      </c>
      <c r="G71" s="30"/>
    </row>
    <row r="72" ht="15.75" customHeight="1">
      <c r="A72" s="22"/>
      <c r="B72" s="25"/>
      <c r="C72" s="25"/>
      <c r="D72" s="25"/>
      <c r="E72" s="25"/>
      <c r="F72" s="25">
        <f t="shared" si="5"/>
        <v>0</v>
      </c>
      <c r="G72" s="30"/>
    </row>
    <row r="73" ht="15.75" customHeight="1">
      <c r="A73" s="22"/>
      <c r="B73" s="25"/>
      <c r="C73" s="25"/>
      <c r="D73" s="25"/>
      <c r="E73" s="25"/>
      <c r="F73" s="25">
        <f t="shared" si="5"/>
        <v>0</v>
      </c>
      <c r="G73" s="30"/>
    </row>
    <row r="74" ht="15.75" customHeight="1">
      <c r="A74" s="22"/>
      <c r="B74" s="25"/>
      <c r="C74" s="25"/>
      <c r="D74" s="25"/>
      <c r="E74" s="25"/>
      <c r="F74" s="25">
        <f t="shared" si="5"/>
        <v>0</v>
      </c>
      <c r="G74" s="30"/>
    </row>
    <row r="75" ht="15.75" customHeight="1">
      <c r="A75" s="22"/>
      <c r="B75" s="25"/>
      <c r="C75" s="25"/>
      <c r="D75" s="25"/>
      <c r="E75" s="25"/>
      <c r="F75" s="25">
        <f t="shared" si="5"/>
        <v>0</v>
      </c>
      <c r="G75" s="30"/>
    </row>
    <row r="76" ht="15.75" customHeight="1">
      <c r="A76" s="32"/>
      <c r="B76" s="33"/>
      <c r="C76" s="33"/>
      <c r="D76" s="33"/>
      <c r="E76" s="33"/>
      <c r="F76" s="33">
        <f t="shared" si="5"/>
        <v>0</v>
      </c>
      <c r="G76" s="35"/>
    </row>
    <row r="77" ht="15.75" customHeight="1"/>
    <row r="78" ht="15.75" customHeight="1"/>
    <row r="79" ht="15.75" customHeight="1">
      <c r="A79" s="5" t="s">
        <v>75</v>
      </c>
      <c r="B79" s="2"/>
      <c r="C79" s="2"/>
      <c r="D79" s="2"/>
      <c r="E79" s="3"/>
    </row>
    <row r="80" ht="15.75" customHeight="1">
      <c r="A80" s="7"/>
      <c r="B80" s="8"/>
      <c r="C80" s="8"/>
      <c r="D80" s="8"/>
      <c r="E80" s="37"/>
    </row>
    <row r="81" ht="15.75" customHeight="1">
      <c r="A81" s="11" t="s">
        <v>2</v>
      </c>
      <c r="B81" s="12" t="s">
        <v>76</v>
      </c>
      <c r="C81" s="13" t="s">
        <v>77</v>
      </c>
      <c r="D81" s="13" t="s">
        <v>78</v>
      </c>
      <c r="E81" s="15" t="s">
        <v>10</v>
      </c>
      <c r="F81" s="16"/>
    </row>
    <row r="82" ht="15.75" customHeight="1">
      <c r="A82" s="38"/>
      <c r="B82" s="39"/>
      <c r="C82" s="40"/>
      <c r="D82" s="40"/>
      <c r="E82" s="41"/>
      <c r="F82" s="16"/>
    </row>
    <row r="83" ht="15.75" customHeight="1">
      <c r="A83" s="22"/>
      <c r="B83" s="25"/>
      <c r="C83" s="55"/>
      <c r="D83" s="55"/>
      <c r="E83" s="43">
        <f>IF(D83=1,C83*50*2,C83*50)</f>
        <v>0</v>
      </c>
      <c r="F83" s="28"/>
    </row>
    <row r="84" ht="15.75" customHeight="1">
      <c r="A84" s="22"/>
      <c r="B84" s="25"/>
      <c r="C84" s="57"/>
      <c r="D84" s="57"/>
      <c r="E84" s="30"/>
    </row>
    <row r="85" ht="15.75" customHeight="1">
      <c r="A85" s="22"/>
      <c r="B85" s="25"/>
      <c r="C85" s="57"/>
      <c r="D85" s="57"/>
      <c r="E85" s="30"/>
    </row>
    <row r="86" ht="15.75" customHeight="1">
      <c r="A86" s="22"/>
      <c r="B86" s="25"/>
      <c r="C86" s="57"/>
      <c r="D86" s="57"/>
      <c r="E86" s="30"/>
    </row>
    <row r="87" ht="15.75" customHeight="1">
      <c r="A87" s="22"/>
      <c r="B87" s="25"/>
      <c r="C87" s="57"/>
      <c r="D87" s="57"/>
      <c r="E87" s="30"/>
    </row>
    <row r="88" ht="15.75" customHeight="1">
      <c r="A88" s="22"/>
      <c r="B88" s="25"/>
      <c r="C88" s="57"/>
      <c r="D88" s="57"/>
      <c r="E88" s="30"/>
    </row>
    <row r="89" ht="15.75" customHeight="1">
      <c r="A89" s="22"/>
      <c r="B89" s="25"/>
      <c r="C89" s="57"/>
      <c r="D89" s="57"/>
      <c r="E89" s="30"/>
    </row>
    <row r="90" ht="15.75" customHeight="1">
      <c r="A90" s="32"/>
      <c r="B90" s="33"/>
      <c r="C90" s="63"/>
      <c r="D90" s="63"/>
      <c r="E90" s="35"/>
    </row>
    <row r="91" ht="15.75" customHeight="1"/>
    <row r="92" ht="15.75" customHeight="1"/>
    <row r="93" ht="15.75" customHeight="1">
      <c r="A93" s="44" t="s">
        <v>21</v>
      </c>
      <c r="B93" s="2"/>
      <c r="C93" s="2"/>
      <c r="D93" s="2"/>
      <c r="E93" s="3"/>
    </row>
    <row r="94" ht="15.75" customHeight="1">
      <c r="A94" s="45"/>
      <c r="E94" s="10"/>
    </row>
    <row r="95" ht="15.75" customHeight="1">
      <c r="A95" s="46" t="s">
        <v>2</v>
      </c>
      <c r="B95" s="47" t="s">
        <v>3</v>
      </c>
      <c r="C95" s="48" t="s">
        <v>22</v>
      </c>
      <c r="D95" s="48" t="s">
        <v>23</v>
      </c>
      <c r="E95" s="49" t="s">
        <v>11</v>
      </c>
      <c r="F95" s="50"/>
    </row>
    <row r="96" ht="15.75" customHeight="1">
      <c r="A96" s="51"/>
      <c r="B96" s="52"/>
      <c r="C96" s="52"/>
      <c r="D96" s="52"/>
      <c r="E96" s="53"/>
    </row>
    <row r="97" ht="18.75" customHeight="1">
      <c r="A97" s="22">
        <v>1.0</v>
      </c>
      <c r="B97" s="29"/>
      <c r="C97" s="25"/>
      <c r="D97" s="55"/>
      <c r="E97" s="56">
        <f>IF(D97=0,300,D97*-200)</f>
        <v>300</v>
      </c>
      <c r="F97" s="28"/>
    </row>
    <row r="98" ht="15.75" customHeight="1">
      <c r="A98" s="22">
        <v>2.0</v>
      </c>
      <c r="B98" s="29"/>
      <c r="C98" s="25"/>
      <c r="D98" s="57"/>
      <c r="E98" s="30"/>
    </row>
    <row r="99" ht="15.75" customHeight="1">
      <c r="A99" s="22">
        <v>3.0</v>
      </c>
      <c r="B99" s="29"/>
      <c r="C99" s="25"/>
      <c r="D99" s="57"/>
      <c r="E99" s="30"/>
    </row>
    <row r="100" ht="15.75" customHeight="1">
      <c r="A100" s="59">
        <v>4.0</v>
      </c>
      <c r="B100" s="61"/>
      <c r="C100" s="55"/>
      <c r="D100" s="57"/>
      <c r="E100" s="30"/>
    </row>
    <row r="101" ht="15.75" customHeight="1">
      <c r="A101" s="59"/>
      <c r="B101" s="61"/>
      <c r="C101" s="55"/>
      <c r="D101" s="57"/>
      <c r="E101" s="30"/>
    </row>
    <row r="102" ht="15.75" customHeight="1">
      <c r="A102" s="59"/>
      <c r="B102" s="61"/>
      <c r="C102" s="55"/>
      <c r="D102" s="57"/>
      <c r="E102" s="30"/>
    </row>
    <row r="103" ht="15.75" customHeight="1">
      <c r="A103" s="32"/>
      <c r="B103" s="62"/>
      <c r="C103" s="33"/>
      <c r="D103" s="63"/>
      <c r="E103" s="35"/>
    </row>
    <row r="104" ht="15.75" customHeight="1"/>
    <row r="105" ht="15.75" customHeight="1"/>
    <row r="106" ht="15.75" customHeight="1">
      <c r="A106" s="44" t="s">
        <v>29</v>
      </c>
      <c r="B106" s="2"/>
      <c r="C106" s="2"/>
      <c r="D106" s="2"/>
      <c r="E106" s="3"/>
    </row>
    <row r="107" ht="18.0" customHeight="1">
      <c r="A107" s="45"/>
      <c r="E107" s="64"/>
    </row>
    <row r="108" ht="15.75" customHeight="1">
      <c r="A108" s="46" t="s">
        <v>2</v>
      </c>
      <c r="B108" s="47" t="s">
        <v>3</v>
      </c>
      <c r="C108" s="48" t="s">
        <v>30</v>
      </c>
      <c r="D108" s="48" t="s">
        <v>31</v>
      </c>
      <c r="E108" s="49" t="s">
        <v>10</v>
      </c>
      <c r="F108" s="50"/>
    </row>
    <row r="109" ht="15.75" customHeight="1">
      <c r="A109" s="51"/>
      <c r="B109" s="52"/>
      <c r="C109" s="52"/>
      <c r="D109" s="52"/>
      <c r="E109" s="53"/>
    </row>
    <row r="110" ht="15.75" customHeight="1">
      <c r="A110" s="22">
        <v>1.0</v>
      </c>
      <c r="B110" s="29"/>
      <c r="C110" s="25"/>
      <c r="D110" s="55"/>
      <c r="E110" s="43">
        <f>IF(D110=0,100,D110*-20)</f>
        <v>100</v>
      </c>
    </row>
    <row r="111" ht="15.75" customHeight="1">
      <c r="A111" s="22">
        <v>2.0</v>
      </c>
      <c r="B111" s="29"/>
      <c r="C111" s="25"/>
      <c r="D111" s="57"/>
      <c r="E111" s="30"/>
    </row>
    <row r="112" ht="15.75" customHeight="1">
      <c r="A112" s="22">
        <v>3.0</v>
      </c>
      <c r="B112" s="29"/>
      <c r="C112" s="28"/>
      <c r="D112" s="57"/>
      <c r="E112" s="30"/>
    </row>
    <row r="113" ht="15.75" customHeight="1">
      <c r="A113" s="22">
        <v>4.0</v>
      </c>
      <c r="B113" s="29"/>
      <c r="C113" s="25"/>
      <c r="D113" s="57"/>
      <c r="E113" s="30"/>
    </row>
    <row r="114" ht="15.75" customHeight="1">
      <c r="A114" s="22">
        <v>5.0</v>
      </c>
      <c r="B114" s="29"/>
      <c r="C114" s="25"/>
      <c r="D114" s="57"/>
      <c r="E114" s="30"/>
    </row>
    <row r="115" ht="15.75" customHeight="1">
      <c r="A115" s="22"/>
      <c r="B115" s="29"/>
      <c r="C115" s="25"/>
      <c r="D115" s="57"/>
      <c r="E115" s="30"/>
    </row>
    <row r="116" ht="15.75" customHeight="1">
      <c r="A116" s="22"/>
      <c r="B116" s="29"/>
      <c r="C116" s="25"/>
      <c r="D116" s="57"/>
      <c r="E116" s="30"/>
    </row>
    <row r="117" ht="15.75" customHeight="1">
      <c r="A117" s="32"/>
      <c r="B117" s="62"/>
      <c r="C117" s="33"/>
      <c r="D117" s="63"/>
      <c r="E117" s="35"/>
    </row>
    <row r="118" ht="15.75" customHeight="1"/>
    <row r="119" ht="15.75" customHeight="1"/>
    <row r="120" ht="15.75" customHeight="1">
      <c r="A120" s="5" t="s">
        <v>33</v>
      </c>
      <c r="B120" s="2"/>
      <c r="C120" s="2"/>
      <c r="D120" s="2"/>
      <c r="E120" s="2"/>
      <c r="F120" s="3"/>
    </row>
    <row r="121" ht="20.25" customHeight="1">
      <c r="A121" s="66"/>
      <c r="B121" s="67"/>
      <c r="C121" s="67"/>
      <c r="D121" s="67"/>
      <c r="E121" s="67"/>
      <c r="F121" s="10"/>
    </row>
    <row r="122" ht="15.75" customHeight="1">
      <c r="A122" s="46" t="s">
        <v>2</v>
      </c>
      <c r="B122" s="47" t="s">
        <v>3</v>
      </c>
      <c r="C122" s="48" t="s">
        <v>34</v>
      </c>
      <c r="D122" s="48" t="s">
        <v>35</v>
      </c>
      <c r="E122" s="47" t="s">
        <v>10</v>
      </c>
      <c r="F122" s="49" t="s">
        <v>11</v>
      </c>
    </row>
    <row r="123" ht="15.75" customHeight="1">
      <c r="A123" s="68"/>
      <c r="B123" s="28"/>
      <c r="C123" s="28"/>
      <c r="D123" s="28"/>
      <c r="E123" s="69"/>
      <c r="F123" s="70"/>
    </row>
    <row r="124" ht="15.75" customHeight="1">
      <c r="A124" s="22">
        <v>1.0</v>
      </c>
      <c r="B124" s="29"/>
      <c r="C124" s="29"/>
      <c r="D124" s="25"/>
      <c r="E124" s="25">
        <f t="shared" ref="E124:E130" si="6">(D124*100)</f>
        <v>0</v>
      </c>
      <c r="F124" s="43">
        <f>SUM(E124:E130)</f>
        <v>0</v>
      </c>
    </row>
    <row r="125" ht="15.75" customHeight="1">
      <c r="A125" s="22">
        <v>2.0</v>
      </c>
      <c r="B125" s="29"/>
      <c r="C125" s="29"/>
      <c r="D125" s="25"/>
      <c r="E125" s="25">
        <f t="shared" si="6"/>
        <v>0</v>
      </c>
      <c r="F125" s="30"/>
    </row>
    <row r="126" ht="15.75" customHeight="1">
      <c r="A126" s="22">
        <v>3.0</v>
      </c>
      <c r="B126" s="29"/>
      <c r="C126" s="29"/>
      <c r="D126" s="25"/>
      <c r="E126" s="25">
        <f t="shared" si="6"/>
        <v>0</v>
      </c>
      <c r="F126" s="30"/>
    </row>
    <row r="127" ht="15.75" customHeight="1">
      <c r="A127" s="22">
        <v>4.0</v>
      </c>
      <c r="B127" s="29"/>
      <c r="C127" s="29"/>
      <c r="D127" s="25"/>
      <c r="E127" s="25">
        <f t="shared" si="6"/>
        <v>0</v>
      </c>
      <c r="F127" s="30"/>
    </row>
    <row r="128" ht="15.75" customHeight="1">
      <c r="A128" s="22"/>
      <c r="B128" s="29"/>
      <c r="C128" s="29"/>
      <c r="D128" s="25"/>
      <c r="E128" s="25">
        <f t="shared" si="6"/>
        <v>0</v>
      </c>
      <c r="F128" s="30"/>
    </row>
    <row r="129" ht="15.75" customHeight="1">
      <c r="A129" s="22"/>
      <c r="B129" s="29"/>
      <c r="C129" s="29"/>
      <c r="D129" s="25"/>
      <c r="E129" s="25">
        <f t="shared" si="6"/>
        <v>0</v>
      </c>
      <c r="F129" s="30"/>
    </row>
    <row r="130" ht="15.75" customHeight="1">
      <c r="A130" s="32"/>
      <c r="B130" s="62"/>
      <c r="C130" s="62"/>
      <c r="D130" s="33"/>
      <c r="E130" s="33">
        <f t="shared" si="6"/>
        <v>0</v>
      </c>
      <c r="F130" s="35"/>
    </row>
    <row r="131" ht="15.75" customHeight="1">
      <c r="A131" s="28"/>
      <c r="B131" s="71"/>
      <c r="C131" s="71"/>
      <c r="D131" s="28"/>
      <c r="E131" s="28"/>
      <c r="F131" s="28"/>
    </row>
    <row r="132" ht="15.75" customHeight="1"/>
    <row r="133" ht="15.75" customHeight="1">
      <c r="A133" s="5" t="s">
        <v>36</v>
      </c>
      <c r="B133" s="2"/>
      <c r="C133" s="2"/>
      <c r="D133" s="2"/>
      <c r="E133" s="2"/>
      <c r="F133" s="3"/>
    </row>
    <row r="134" ht="18.75" customHeight="1">
      <c r="A134" s="66"/>
      <c r="B134" s="67"/>
      <c r="C134" s="67"/>
      <c r="D134" s="67"/>
      <c r="E134" s="67"/>
      <c r="F134" s="72"/>
    </row>
    <row r="135" ht="15.75" customHeight="1">
      <c r="A135" s="46" t="s">
        <v>2</v>
      </c>
      <c r="B135" s="47" t="s">
        <v>3</v>
      </c>
      <c r="C135" s="48" t="s">
        <v>34</v>
      </c>
      <c r="D135" s="48" t="s">
        <v>37</v>
      </c>
      <c r="E135" s="47" t="s">
        <v>10</v>
      </c>
      <c r="F135" s="73" t="s">
        <v>11</v>
      </c>
    </row>
    <row r="136" ht="15.75" customHeight="1">
      <c r="A136" s="68"/>
      <c r="B136" s="28"/>
      <c r="C136" s="28"/>
      <c r="D136" s="28"/>
      <c r="E136" s="18"/>
      <c r="F136" s="74"/>
    </row>
    <row r="137" ht="15.75" customHeight="1">
      <c r="A137" s="22">
        <v>1.0</v>
      </c>
      <c r="B137" s="29"/>
      <c r="C137" s="25"/>
      <c r="D137" s="25"/>
      <c r="E137" s="75">
        <f t="shared" ref="E137:E143" si="7">(D137*100)</f>
        <v>0</v>
      </c>
      <c r="F137" s="43">
        <f>SUM(E137:E143)</f>
        <v>0</v>
      </c>
    </row>
    <row r="138" ht="15.75" customHeight="1">
      <c r="A138" s="22"/>
      <c r="B138" s="29"/>
      <c r="C138" s="25"/>
      <c r="D138" s="25"/>
      <c r="E138" s="75">
        <f t="shared" si="7"/>
        <v>0</v>
      </c>
      <c r="F138" s="30"/>
    </row>
    <row r="139" ht="15.75" customHeight="1">
      <c r="A139" s="22"/>
      <c r="B139" s="29"/>
      <c r="C139" s="25"/>
      <c r="D139" s="25"/>
      <c r="E139" s="75">
        <f t="shared" si="7"/>
        <v>0</v>
      </c>
      <c r="F139" s="30"/>
    </row>
    <row r="140" ht="15.75" customHeight="1">
      <c r="A140" s="22"/>
      <c r="B140" s="29"/>
      <c r="C140" s="25"/>
      <c r="D140" s="76"/>
      <c r="E140" s="75">
        <f t="shared" si="7"/>
        <v>0</v>
      </c>
      <c r="F140" s="30"/>
    </row>
    <row r="141" ht="15.75" customHeight="1">
      <c r="A141" s="22"/>
      <c r="B141" s="29"/>
      <c r="C141" s="25"/>
      <c r="D141" s="76"/>
      <c r="E141" s="75">
        <f t="shared" si="7"/>
        <v>0</v>
      </c>
      <c r="F141" s="30"/>
    </row>
    <row r="142" ht="15.75" customHeight="1">
      <c r="A142" s="22"/>
      <c r="B142" s="29"/>
      <c r="C142" s="26"/>
      <c r="D142" s="76"/>
      <c r="E142" s="75">
        <f t="shared" si="7"/>
        <v>0</v>
      </c>
      <c r="F142" s="30"/>
    </row>
    <row r="143" ht="15.75" customHeight="1">
      <c r="A143" s="32"/>
      <c r="B143" s="62"/>
      <c r="C143" s="34"/>
      <c r="D143" s="77"/>
      <c r="E143" s="33">
        <f t="shared" si="7"/>
        <v>0</v>
      </c>
      <c r="F143" s="35"/>
    </row>
    <row r="144" ht="15.75" customHeight="1"/>
    <row r="145" ht="15.75" customHeight="1"/>
    <row r="146" ht="15.75" customHeight="1"/>
    <row r="147" ht="15.75" customHeight="1">
      <c r="A147" s="5" t="s">
        <v>79</v>
      </c>
      <c r="B147" s="2"/>
      <c r="C147" s="2"/>
      <c r="D147" s="2"/>
      <c r="E147" s="2"/>
      <c r="F147" s="2"/>
      <c r="G147" s="3"/>
    </row>
    <row r="148" ht="15.75" customHeight="1">
      <c r="A148" s="7"/>
      <c r="B148" s="8"/>
      <c r="C148" s="8"/>
      <c r="D148" s="8"/>
      <c r="E148" s="8"/>
      <c r="F148" s="8"/>
      <c r="G148" s="37"/>
    </row>
    <row r="149" ht="15.75" customHeight="1">
      <c r="A149" s="11" t="s">
        <v>2</v>
      </c>
      <c r="B149" s="12" t="s">
        <v>3</v>
      </c>
      <c r="C149" s="13" t="s">
        <v>45</v>
      </c>
      <c r="D149" s="13" t="s">
        <v>80</v>
      </c>
      <c r="E149" s="13" t="s">
        <v>81</v>
      </c>
      <c r="F149" s="13" t="s">
        <v>10</v>
      </c>
      <c r="G149" s="15" t="s">
        <v>11</v>
      </c>
    </row>
    <row r="150" ht="15.75" customHeight="1">
      <c r="A150" s="38"/>
      <c r="B150" s="39"/>
      <c r="C150" s="40"/>
      <c r="D150" s="40"/>
      <c r="E150" s="40"/>
      <c r="F150" s="40"/>
      <c r="G150" s="41"/>
    </row>
    <row r="151" ht="15.75" customHeight="1">
      <c r="A151" s="22"/>
      <c r="B151" s="25"/>
      <c r="C151" s="25"/>
      <c r="D151" s="25"/>
      <c r="E151" s="25"/>
      <c r="F151" s="55">
        <f>SUM(E151:E158)</f>
        <v>0</v>
      </c>
      <c r="G151" s="43">
        <f>F151/10000*100</f>
        <v>0</v>
      </c>
    </row>
    <row r="152" ht="15.75" customHeight="1">
      <c r="A152" s="22"/>
      <c r="B152" s="25"/>
      <c r="C152" s="25"/>
      <c r="D152" s="25"/>
      <c r="E152" s="25"/>
      <c r="F152" s="57"/>
      <c r="G152" s="30"/>
    </row>
    <row r="153" ht="15.75" customHeight="1">
      <c r="A153" s="22"/>
      <c r="B153" s="25"/>
      <c r="C153" s="25"/>
      <c r="D153" s="25"/>
      <c r="E153" s="25"/>
      <c r="F153" s="57"/>
      <c r="G153" s="30"/>
    </row>
    <row r="154" ht="15.75" customHeight="1">
      <c r="A154" s="22"/>
      <c r="B154" s="25"/>
      <c r="C154" s="25"/>
      <c r="D154" s="25"/>
      <c r="E154" s="25"/>
      <c r="F154" s="57"/>
      <c r="G154" s="30"/>
    </row>
    <row r="155" ht="15.75" customHeight="1">
      <c r="A155" s="22"/>
      <c r="B155" s="25"/>
      <c r="C155" s="25"/>
      <c r="D155" s="25"/>
      <c r="E155" s="25"/>
      <c r="F155" s="57"/>
      <c r="G155" s="30"/>
    </row>
    <row r="156" ht="15.75" customHeight="1">
      <c r="A156" s="22"/>
      <c r="B156" s="25"/>
      <c r="C156" s="25"/>
      <c r="D156" s="25"/>
      <c r="E156" s="25"/>
      <c r="F156" s="57"/>
      <c r="G156" s="30"/>
    </row>
    <row r="157" ht="15.75" customHeight="1">
      <c r="A157" s="22"/>
      <c r="B157" s="25"/>
      <c r="C157" s="25"/>
      <c r="D157" s="25"/>
      <c r="E157" s="25"/>
      <c r="F157" s="57"/>
      <c r="G157" s="30"/>
    </row>
    <row r="158" ht="15.75" customHeight="1">
      <c r="A158" s="32"/>
      <c r="B158" s="33"/>
      <c r="C158" s="33"/>
      <c r="D158" s="33"/>
      <c r="E158" s="33"/>
      <c r="F158" s="63"/>
      <c r="G158" s="35"/>
    </row>
    <row r="159" ht="15.75" customHeight="1"/>
    <row r="160" ht="15.75" customHeight="1"/>
    <row r="161" ht="15.75" customHeight="1"/>
    <row r="162" ht="15.75" customHeight="1">
      <c r="A162" s="5" t="s">
        <v>82</v>
      </c>
      <c r="B162" s="2"/>
      <c r="C162" s="2"/>
      <c r="D162" s="2"/>
      <c r="E162" s="2"/>
      <c r="F162" s="2"/>
      <c r="G162" s="3"/>
    </row>
    <row r="163" ht="15.75" customHeight="1">
      <c r="A163" s="7"/>
      <c r="B163" s="8"/>
      <c r="C163" s="8"/>
      <c r="D163" s="8"/>
      <c r="E163" s="8"/>
      <c r="F163" s="8"/>
      <c r="G163" s="37"/>
    </row>
    <row r="164" ht="15.75" customHeight="1">
      <c r="A164" s="11" t="s">
        <v>2</v>
      </c>
      <c r="B164" s="12" t="s">
        <v>3</v>
      </c>
      <c r="C164" s="13" t="s">
        <v>83</v>
      </c>
      <c r="D164" s="13" t="s">
        <v>84</v>
      </c>
      <c r="E164" s="13" t="s">
        <v>85</v>
      </c>
      <c r="F164" s="13" t="s">
        <v>10</v>
      </c>
      <c r="G164" s="15" t="s">
        <v>11</v>
      </c>
    </row>
    <row r="165" ht="15.75" customHeight="1">
      <c r="A165" s="38"/>
      <c r="B165" s="39"/>
      <c r="C165" s="40"/>
      <c r="D165" s="19"/>
      <c r="E165" s="40"/>
      <c r="F165" s="40"/>
      <c r="G165" s="41"/>
    </row>
    <row r="166" ht="15.75" customHeight="1">
      <c r="A166" s="22"/>
      <c r="B166" s="25"/>
      <c r="C166" s="25"/>
      <c r="D166" s="25"/>
      <c r="E166" s="25"/>
      <c r="F166" s="25">
        <f t="shared" ref="F166:F173" si="8">SUM(D166*100)</f>
        <v>0</v>
      </c>
      <c r="G166" s="43">
        <f>SUM(F166:F173)</f>
        <v>0</v>
      </c>
    </row>
    <row r="167" ht="15.75" customHeight="1">
      <c r="A167" s="22"/>
      <c r="B167" s="25"/>
      <c r="C167" s="25"/>
      <c r="D167" s="25"/>
      <c r="E167" s="25"/>
      <c r="F167" s="25">
        <f t="shared" si="8"/>
        <v>0</v>
      </c>
      <c r="G167" s="30"/>
    </row>
    <row r="168" ht="15.75" customHeight="1">
      <c r="A168" s="22"/>
      <c r="B168" s="25"/>
      <c r="C168" s="25"/>
      <c r="D168" s="25"/>
      <c r="E168" s="25"/>
      <c r="F168" s="25">
        <f t="shared" si="8"/>
        <v>0</v>
      </c>
      <c r="G168" s="30"/>
    </row>
    <row r="169" ht="15.75" customHeight="1">
      <c r="A169" s="22"/>
      <c r="B169" s="25"/>
      <c r="C169" s="25"/>
      <c r="D169" s="25"/>
      <c r="E169" s="25"/>
      <c r="F169" s="25">
        <f t="shared" si="8"/>
        <v>0</v>
      </c>
      <c r="G169" s="30"/>
    </row>
    <row r="170" ht="15.75" customHeight="1">
      <c r="A170" s="22"/>
      <c r="B170" s="25"/>
      <c r="C170" s="25"/>
      <c r="D170" s="25"/>
      <c r="E170" s="25"/>
      <c r="F170" s="25">
        <f t="shared" si="8"/>
        <v>0</v>
      </c>
      <c r="G170" s="30"/>
    </row>
    <row r="171" ht="15.75" customHeight="1">
      <c r="A171" s="22"/>
      <c r="B171" s="25"/>
      <c r="C171" s="25"/>
      <c r="D171" s="25"/>
      <c r="E171" s="25"/>
      <c r="F171" s="25">
        <f t="shared" si="8"/>
        <v>0</v>
      </c>
      <c r="G171" s="30"/>
    </row>
    <row r="172" ht="15.75" customHeight="1">
      <c r="A172" s="22"/>
      <c r="B172" s="25"/>
      <c r="C172" s="25"/>
      <c r="D172" s="25"/>
      <c r="E172" s="25"/>
      <c r="F172" s="25">
        <f t="shared" si="8"/>
        <v>0</v>
      </c>
      <c r="G172" s="30"/>
    </row>
    <row r="173" ht="15.75" customHeight="1">
      <c r="A173" s="32"/>
      <c r="B173" s="33"/>
      <c r="C173" s="33"/>
      <c r="D173" s="33"/>
      <c r="E173" s="33"/>
      <c r="F173" s="33">
        <f t="shared" si="8"/>
        <v>0</v>
      </c>
      <c r="G173" s="35"/>
    </row>
    <row r="174" ht="15.75" customHeight="1"/>
    <row r="175" ht="15.75" customHeight="1"/>
    <row r="176" ht="15.75" customHeight="1">
      <c r="A176" s="5" t="s">
        <v>86</v>
      </c>
      <c r="B176" s="2"/>
      <c r="C176" s="2"/>
      <c r="D176" s="2"/>
      <c r="E176" s="2"/>
      <c r="F176" s="3"/>
    </row>
    <row r="177" ht="15.75" customHeight="1">
      <c r="A177" s="110"/>
      <c r="B177" s="111"/>
      <c r="C177" s="111"/>
      <c r="D177" s="111"/>
      <c r="E177" s="112"/>
      <c r="F177" s="113"/>
    </row>
    <row r="178" ht="15.75" customHeight="1">
      <c r="A178" s="46" t="s">
        <v>2</v>
      </c>
      <c r="B178" s="48" t="s">
        <v>87</v>
      </c>
      <c r="C178" s="48" t="s">
        <v>34</v>
      </c>
      <c r="D178" s="103" t="s">
        <v>88</v>
      </c>
      <c r="E178" s="114" t="s">
        <v>10</v>
      </c>
      <c r="F178" s="49" t="s">
        <v>11</v>
      </c>
      <c r="G178" s="50"/>
    </row>
    <row r="179" ht="15.75" customHeight="1">
      <c r="A179" s="51"/>
      <c r="B179" s="52"/>
      <c r="C179" s="52"/>
      <c r="D179" s="52"/>
      <c r="E179" s="52"/>
      <c r="F179" s="53"/>
    </row>
    <row r="180" ht="15.75" customHeight="1">
      <c r="A180" s="22"/>
      <c r="B180" s="29"/>
      <c r="C180" s="25"/>
      <c r="D180" s="55"/>
      <c r="E180" s="101">
        <f>SUM(D180*100)</f>
        <v>0</v>
      </c>
      <c r="F180" s="43">
        <f>SUM(E180:E186)</f>
        <v>0</v>
      </c>
      <c r="G180" s="115"/>
    </row>
    <row r="181" ht="15.75" customHeight="1">
      <c r="A181" s="22"/>
      <c r="B181" s="29"/>
      <c r="C181" s="25"/>
      <c r="D181" s="57"/>
      <c r="E181" s="57"/>
      <c r="F181" s="30"/>
    </row>
    <row r="182" ht="15.75" customHeight="1">
      <c r="A182" s="22"/>
      <c r="B182" s="29"/>
      <c r="C182" s="25"/>
      <c r="D182" s="57"/>
      <c r="E182" s="57"/>
      <c r="F182" s="30"/>
    </row>
    <row r="183" ht="15.75" customHeight="1">
      <c r="A183" s="22"/>
      <c r="B183" s="29"/>
      <c r="C183" s="25"/>
      <c r="D183" s="57"/>
      <c r="E183" s="57"/>
      <c r="F183" s="30"/>
    </row>
    <row r="184" ht="15.75" customHeight="1">
      <c r="A184" s="22"/>
      <c r="B184" s="29"/>
      <c r="C184" s="25"/>
      <c r="D184" s="57"/>
      <c r="E184" s="57"/>
      <c r="F184" s="30"/>
    </row>
    <row r="185" ht="15.75" customHeight="1">
      <c r="A185" s="22"/>
      <c r="B185" s="29"/>
      <c r="C185" s="25"/>
      <c r="D185" s="57"/>
      <c r="E185" s="57"/>
      <c r="F185" s="30"/>
    </row>
    <row r="186" ht="15.75" customHeight="1">
      <c r="A186" s="32"/>
      <c r="B186" s="62"/>
      <c r="C186" s="33"/>
      <c r="D186" s="63"/>
      <c r="E186" s="63"/>
      <c r="F186" s="35"/>
    </row>
    <row r="187" ht="15.75" customHeight="1"/>
    <row r="188" ht="15.75" customHeight="1"/>
    <row r="189" ht="15.75" customHeight="1">
      <c r="A189" s="5" t="s">
        <v>38</v>
      </c>
      <c r="B189" s="2"/>
      <c r="C189" s="2"/>
      <c r="D189" s="3"/>
    </row>
    <row r="190" ht="15.75" customHeight="1">
      <c r="A190" s="45"/>
      <c r="D190" s="64"/>
    </row>
    <row r="191" ht="15.75" customHeight="1">
      <c r="A191" s="78" t="s">
        <v>39</v>
      </c>
      <c r="B191" s="47" t="s">
        <v>3</v>
      </c>
      <c r="C191" s="48" t="s">
        <v>40</v>
      </c>
      <c r="D191" s="49" t="s">
        <v>10</v>
      </c>
    </row>
    <row r="192" ht="15.75" customHeight="1">
      <c r="A192" s="68"/>
      <c r="B192" s="28"/>
      <c r="C192" s="28"/>
      <c r="D192" s="70"/>
    </row>
    <row r="193" ht="15.75" customHeight="1">
      <c r="A193" s="32">
        <v>1.0</v>
      </c>
      <c r="B193" s="33"/>
      <c r="C193" s="33"/>
      <c r="D193" s="81">
        <f>C193*200</f>
        <v>0</v>
      </c>
    </row>
    <row r="194" ht="15.75" customHeight="1">
      <c r="A194" s="8"/>
      <c r="B194" s="8"/>
      <c r="C194" s="8"/>
      <c r="D194" s="8"/>
    </row>
    <row r="195" ht="15.75" customHeight="1"/>
    <row r="196" ht="15.75" customHeight="1"/>
    <row r="197" ht="15.75" customHeight="1">
      <c r="A197" s="44" t="s">
        <v>89</v>
      </c>
      <c r="B197" s="2"/>
      <c r="C197" s="2"/>
      <c r="D197" s="2"/>
      <c r="E197" s="2"/>
      <c r="F197" s="2"/>
      <c r="G197" s="2"/>
      <c r="H197" s="3"/>
    </row>
    <row r="198" ht="15.75" customHeight="1">
      <c r="H198" s="83"/>
    </row>
    <row r="199" ht="15.75" customHeight="1">
      <c r="A199" s="116" t="s">
        <v>90</v>
      </c>
      <c r="B199" s="117" t="s">
        <v>3</v>
      </c>
      <c r="C199" s="85" t="s">
        <v>42</v>
      </c>
      <c r="D199" s="85" t="s">
        <v>91</v>
      </c>
      <c r="E199" s="86" t="s">
        <v>92</v>
      </c>
      <c r="F199" s="85" t="s">
        <v>93</v>
      </c>
      <c r="G199" s="118" t="s">
        <v>10</v>
      </c>
      <c r="H199" s="87" t="s">
        <v>11</v>
      </c>
    </row>
    <row r="200" ht="15.75" customHeight="1">
      <c r="A200" s="119"/>
      <c r="G200" s="120"/>
      <c r="H200" s="74"/>
    </row>
    <row r="201" ht="15.75" customHeight="1">
      <c r="A201" s="22"/>
      <c r="B201" s="75"/>
      <c r="C201" s="25"/>
      <c r="D201" s="25"/>
      <c r="E201" s="25"/>
      <c r="F201" s="25"/>
      <c r="G201" s="25">
        <f>SUM(D201+E201)*100</f>
        <v>0</v>
      </c>
      <c r="H201" s="121">
        <f>SUM(G201:G205)</f>
        <v>0</v>
      </c>
    </row>
    <row r="202" ht="15.75" customHeight="1">
      <c r="A202" s="22"/>
      <c r="B202" s="75"/>
      <c r="C202" s="25"/>
      <c r="D202" s="25"/>
      <c r="E202" s="25"/>
      <c r="F202" s="25"/>
      <c r="G202" s="25">
        <f t="shared" ref="G202:G205" si="9">SUM(D202)+(E202)*100</f>
        <v>0</v>
      </c>
      <c r="H202" s="122"/>
    </row>
    <row r="203" ht="15.75" customHeight="1">
      <c r="A203" s="22"/>
      <c r="B203" s="75"/>
      <c r="C203" s="25"/>
      <c r="D203" s="25"/>
      <c r="E203" s="25"/>
      <c r="F203" s="25"/>
      <c r="G203" s="25">
        <f t="shared" si="9"/>
        <v>0</v>
      </c>
      <c r="H203" s="122"/>
    </row>
    <row r="204" ht="15.75" customHeight="1">
      <c r="A204" s="22"/>
      <c r="B204" s="75"/>
      <c r="C204" s="25"/>
      <c r="D204" s="25"/>
      <c r="E204" s="25"/>
      <c r="F204" s="25"/>
      <c r="G204" s="25">
        <f t="shared" si="9"/>
        <v>0</v>
      </c>
      <c r="H204" s="122"/>
    </row>
    <row r="205" ht="15.75" customHeight="1">
      <c r="A205" s="32"/>
      <c r="B205" s="123"/>
      <c r="C205" s="33"/>
      <c r="D205" s="33"/>
      <c r="E205" s="33"/>
      <c r="F205" s="33"/>
      <c r="G205" s="33">
        <f t="shared" si="9"/>
        <v>0</v>
      </c>
      <c r="H205" s="124"/>
    </row>
    <row r="206" ht="15.75" customHeight="1">
      <c r="A206" s="28"/>
      <c r="B206" s="28"/>
      <c r="C206" s="28"/>
      <c r="D206" s="28"/>
      <c r="E206" s="28"/>
      <c r="F206" s="28"/>
      <c r="G206" s="28"/>
    </row>
    <row r="207" ht="15.75" customHeight="1"/>
    <row r="208" ht="15.75" customHeight="1">
      <c r="A208" s="44" t="s">
        <v>41</v>
      </c>
      <c r="B208" s="2"/>
      <c r="C208" s="2"/>
      <c r="D208" s="2"/>
      <c r="E208" s="3"/>
    </row>
    <row r="209" ht="15.75" customHeight="1">
      <c r="E209" s="83"/>
    </row>
    <row r="210" ht="15.75" customHeight="1">
      <c r="A210" s="84" t="s">
        <v>39</v>
      </c>
      <c r="B210" s="85" t="s">
        <v>3</v>
      </c>
      <c r="C210" s="85" t="s">
        <v>42</v>
      </c>
      <c r="D210" s="86" t="s">
        <v>43</v>
      </c>
      <c r="E210" s="87" t="s">
        <v>11</v>
      </c>
    </row>
    <row r="211" ht="15.75" customHeight="1">
      <c r="A211" s="45"/>
      <c r="E211" s="64"/>
    </row>
    <row r="212" ht="15.75" customHeight="1">
      <c r="A212" s="88">
        <v>1.0</v>
      </c>
      <c r="B212" s="90"/>
      <c r="C212" s="90"/>
      <c r="D212" s="90">
        <v>0.0</v>
      </c>
      <c r="E212" s="56">
        <f>D212*200</f>
        <v>0</v>
      </c>
    </row>
    <row r="213" ht="15.75" customHeight="1">
      <c r="A213" s="91"/>
      <c r="B213" s="92"/>
      <c r="C213" s="92"/>
      <c r="D213" s="92"/>
      <c r="E213" s="35"/>
    </row>
    <row r="214" ht="15.75" customHeight="1">
      <c r="A214" s="52"/>
      <c r="B214" s="52"/>
      <c r="C214" s="52"/>
      <c r="D214" s="52"/>
      <c r="E214" s="52"/>
    </row>
    <row r="215" ht="15.75" customHeight="1"/>
    <row r="216" ht="15.75" customHeight="1">
      <c r="A216" s="44" t="s">
        <v>94</v>
      </c>
      <c r="B216" s="2"/>
      <c r="C216" s="2"/>
      <c r="D216" s="2"/>
      <c r="E216" s="2"/>
      <c r="F216" s="3"/>
    </row>
    <row r="217" ht="15.75" customHeight="1">
      <c r="F217" s="72"/>
    </row>
    <row r="218" ht="15.75" customHeight="1">
      <c r="A218" s="78" t="s">
        <v>39</v>
      </c>
      <c r="B218" s="47" t="s">
        <v>3</v>
      </c>
      <c r="C218" s="48" t="s">
        <v>45</v>
      </c>
      <c r="D218" s="48" t="s">
        <v>95</v>
      </c>
      <c r="E218" s="47" t="s">
        <v>10</v>
      </c>
      <c r="F218" s="49" t="s">
        <v>11</v>
      </c>
    </row>
    <row r="219" ht="15.75" customHeight="1">
      <c r="A219" s="45"/>
      <c r="F219" s="64"/>
    </row>
    <row r="220" ht="15.75" customHeight="1">
      <c r="A220" s="88">
        <v>1.0</v>
      </c>
      <c r="B220" s="90"/>
      <c r="C220" s="90"/>
      <c r="D220" s="90"/>
      <c r="E220" s="90">
        <f t="shared" ref="E220:E225" si="10">D220*50</f>
        <v>0</v>
      </c>
      <c r="F220" s="56">
        <f>SUM(E220,E221,E222,E223,E224,E225)</f>
        <v>0</v>
      </c>
    </row>
    <row r="221" ht="15.75" customHeight="1">
      <c r="A221" s="88">
        <v>2.0</v>
      </c>
      <c r="B221" s="90"/>
      <c r="C221" s="90"/>
      <c r="D221" s="90"/>
      <c r="E221" s="90">
        <f t="shared" si="10"/>
        <v>0</v>
      </c>
      <c r="F221" s="30"/>
    </row>
    <row r="222" ht="15.75" customHeight="1">
      <c r="A222" s="88">
        <v>3.0</v>
      </c>
      <c r="B222" s="90"/>
      <c r="C222" s="90"/>
      <c r="D222" s="90"/>
      <c r="E222" s="90">
        <f t="shared" si="10"/>
        <v>0</v>
      </c>
      <c r="F222" s="30"/>
    </row>
    <row r="223" ht="15.75" customHeight="1">
      <c r="A223" s="88">
        <v>4.0</v>
      </c>
      <c r="B223" s="90"/>
      <c r="C223" s="90"/>
      <c r="D223" s="90"/>
      <c r="E223" s="90">
        <f t="shared" si="10"/>
        <v>0</v>
      </c>
      <c r="F223" s="30"/>
    </row>
    <row r="224" ht="15.75" customHeight="1">
      <c r="A224" s="88">
        <v>5.0</v>
      </c>
      <c r="B224" s="90"/>
      <c r="C224" s="90"/>
      <c r="D224" s="90"/>
      <c r="E224" s="90">
        <f t="shared" si="10"/>
        <v>0</v>
      </c>
      <c r="F224" s="30"/>
    </row>
    <row r="225" ht="15.75" customHeight="1">
      <c r="A225" s="91"/>
      <c r="B225" s="92"/>
      <c r="C225" s="92"/>
      <c r="D225" s="92"/>
      <c r="E225" s="92">
        <f t="shared" si="10"/>
        <v>0</v>
      </c>
      <c r="F225" s="35"/>
    </row>
    <row r="226" ht="15.75" customHeight="1"/>
    <row r="227" ht="15.75" customHeight="1"/>
    <row r="228" ht="15.75" customHeight="1">
      <c r="A228" s="44" t="s">
        <v>44</v>
      </c>
      <c r="B228" s="2"/>
      <c r="C228" s="2"/>
      <c r="D228" s="2"/>
      <c r="E228" s="2"/>
      <c r="F228" s="3"/>
    </row>
    <row r="229" ht="15.75" customHeight="1">
      <c r="F229" s="83"/>
    </row>
    <row r="230" ht="15.75" customHeight="1">
      <c r="A230" s="84" t="s">
        <v>39</v>
      </c>
      <c r="B230" s="85" t="s">
        <v>3</v>
      </c>
      <c r="C230" s="86" t="s">
        <v>45</v>
      </c>
      <c r="D230" s="86" t="s">
        <v>46</v>
      </c>
      <c r="E230" s="85" t="s">
        <v>10</v>
      </c>
      <c r="F230" s="87" t="s">
        <v>11</v>
      </c>
    </row>
    <row r="231" ht="15.75" customHeight="1">
      <c r="A231" s="68"/>
      <c r="B231" s="28"/>
      <c r="C231" s="28"/>
      <c r="D231" s="28"/>
      <c r="E231" s="28"/>
      <c r="F231" s="70"/>
    </row>
    <row r="232" ht="15.75" customHeight="1">
      <c r="A232" s="22">
        <v>1.0</v>
      </c>
      <c r="B232" s="25"/>
      <c r="C232" s="25"/>
      <c r="D232" s="25"/>
      <c r="E232" s="25">
        <f t="shared" ref="E232:E237" si="11">D232*50</f>
        <v>0</v>
      </c>
      <c r="F232" s="43">
        <f>SUM(E232,E233,E234,E235,E236,E237)</f>
        <v>0</v>
      </c>
    </row>
    <row r="233" ht="15.75" customHeight="1">
      <c r="A233" s="22">
        <v>2.0</v>
      </c>
      <c r="B233" s="25"/>
      <c r="C233" s="25"/>
      <c r="D233" s="25"/>
      <c r="E233" s="25">
        <f t="shared" si="11"/>
        <v>0</v>
      </c>
      <c r="F233" s="30"/>
    </row>
    <row r="234" ht="15.75" customHeight="1">
      <c r="A234" s="22">
        <v>3.0</v>
      </c>
      <c r="B234" s="25"/>
      <c r="C234" s="25"/>
      <c r="D234" s="25"/>
      <c r="E234" s="25">
        <f t="shared" si="11"/>
        <v>0</v>
      </c>
      <c r="F234" s="30"/>
    </row>
    <row r="235" ht="15.75" customHeight="1">
      <c r="A235" s="22">
        <v>4.0</v>
      </c>
      <c r="B235" s="25"/>
      <c r="C235" s="25"/>
      <c r="D235" s="25"/>
      <c r="E235" s="25">
        <f t="shared" si="11"/>
        <v>0</v>
      </c>
      <c r="F235" s="30"/>
    </row>
    <row r="236" ht="15.75" customHeight="1">
      <c r="A236" s="22">
        <v>5.0</v>
      </c>
      <c r="B236" s="25"/>
      <c r="C236" s="25"/>
      <c r="D236" s="25"/>
      <c r="E236" s="25">
        <f t="shared" si="11"/>
        <v>0</v>
      </c>
      <c r="F236" s="30"/>
    </row>
    <row r="237" ht="15.75" customHeight="1">
      <c r="A237" s="32">
        <v>6.0</v>
      </c>
      <c r="B237" s="33"/>
      <c r="C237" s="33"/>
      <c r="D237" s="33"/>
      <c r="E237" s="33">
        <f t="shared" si="11"/>
        <v>0</v>
      </c>
      <c r="F237" s="3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>
      <c r="A245" s="44" t="s">
        <v>96</v>
      </c>
      <c r="B245" s="2"/>
      <c r="C245" s="3"/>
    </row>
    <row r="246" ht="15.75" customHeight="1">
      <c r="A246" s="45"/>
      <c r="C246" s="64"/>
    </row>
    <row r="247" ht="15.75" customHeight="1">
      <c r="A247" s="46" t="s">
        <v>2</v>
      </c>
      <c r="B247" s="48" t="s">
        <v>50</v>
      </c>
      <c r="C247" s="94" t="s">
        <v>51</v>
      </c>
    </row>
    <row r="248" ht="15.75" customHeight="1">
      <c r="A248" s="38"/>
      <c r="B248" s="40"/>
      <c r="C248" s="41"/>
    </row>
    <row r="249" ht="15.75" customHeight="1">
      <c r="A249" s="22">
        <v>1.0</v>
      </c>
      <c r="B249" s="25" t="s">
        <v>52</v>
      </c>
      <c r="C249" s="95" t="str">
        <f>K8</f>
        <v/>
      </c>
    </row>
    <row r="250" ht="15.75" customHeight="1">
      <c r="A250" s="22">
        <v>2.0</v>
      </c>
      <c r="B250" s="25" t="s">
        <v>53</v>
      </c>
      <c r="C250" s="95">
        <f>F22</f>
        <v>0</v>
      </c>
    </row>
    <row r="251" ht="15.75" customHeight="1">
      <c r="A251" s="22">
        <v>3.0</v>
      </c>
      <c r="B251" s="25" t="s">
        <v>97</v>
      </c>
      <c r="C251" s="95" t="str">
        <f>I36</f>
        <v/>
      </c>
    </row>
    <row r="252" ht="15.75" customHeight="1">
      <c r="A252" s="22">
        <v>4.0</v>
      </c>
      <c r="B252" s="25" t="s">
        <v>68</v>
      </c>
      <c r="C252" s="95">
        <f>I50</f>
        <v>0</v>
      </c>
    </row>
    <row r="253" ht="15.75" customHeight="1">
      <c r="A253" s="22">
        <v>5.0</v>
      </c>
      <c r="B253" s="25" t="s">
        <v>98</v>
      </c>
      <c r="C253" s="95" t="str">
        <f>H69</f>
        <v/>
      </c>
    </row>
    <row r="254" ht="15.75" customHeight="1">
      <c r="A254" s="22">
        <v>6.0</v>
      </c>
      <c r="B254" s="25" t="s">
        <v>99</v>
      </c>
      <c r="C254" s="95">
        <f>E83</f>
        <v>0</v>
      </c>
    </row>
    <row r="255" ht="15.75" customHeight="1">
      <c r="A255" s="22">
        <v>7.0</v>
      </c>
      <c r="B255" s="25" t="s">
        <v>54</v>
      </c>
      <c r="C255" s="95">
        <f>E97</f>
        <v>300</v>
      </c>
    </row>
    <row r="256" ht="15.75" customHeight="1">
      <c r="A256" s="22">
        <v>8.0</v>
      </c>
      <c r="B256" s="96" t="s">
        <v>55</v>
      </c>
      <c r="C256" s="95">
        <f>E110</f>
        <v>100</v>
      </c>
    </row>
    <row r="257" ht="15.75" customHeight="1">
      <c r="A257" s="22">
        <v>9.0</v>
      </c>
      <c r="B257" s="96" t="s">
        <v>56</v>
      </c>
      <c r="C257" s="95">
        <f>F124</f>
        <v>0</v>
      </c>
    </row>
    <row r="258" ht="15.75" customHeight="1">
      <c r="A258" s="22">
        <v>10.0</v>
      </c>
      <c r="B258" s="96" t="s">
        <v>57</v>
      </c>
      <c r="C258" s="95">
        <f>F137</f>
        <v>0</v>
      </c>
    </row>
    <row r="259" ht="15.75" customHeight="1">
      <c r="A259" s="22">
        <v>12.0</v>
      </c>
      <c r="B259" s="96" t="s">
        <v>100</v>
      </c>
      <c r="C259" s="95" t="str">
        <f>H151</f>
        <v/>
      </c>
    </row>
    <row r="260" ht="15.75" customHeight="1">
      <c r="A260" s="22">
        <v>13.0</v>
      </c>
      <c r="B260" s="96" t="s">
        <v>101</v>
      </c>
      <c r="C260" s="95" t="str">
        <f>H166</f>
        <v/>
      </c>
    </row>
    <row r="261" ht="15.75" customHeight="1">
      <c r="A261" s="22">
        <v>14.0</v>
      </c>
      <c r="B261" s="96" t="s">
        <v>102</v>
      </c>
      <c r="C261" s="95">
        <f>F180</f>
        <v>0</v>
      </c>
    </row>
    <row r="262" ht="15.75" customHeight="1">
      <c r="A262" s="22">
        <v>15.0</v>
      </c>
      <c r="B262" s="96" t="s">
        <v>58</v>
      </c>
      <c r="C262" s="95">
        <f>D193</f>
        <v>0</v>
      </c>
    </row>
    <row r="263" ht="15.75" customHeight="1">
      <c r="A263" s="22">
        <v>16.0</v>
      </c>
      <c r="B263" s="96" t="s">
        <v>103</v>
      </c>
      <c r="C263" s="95" t="str">
        <f>I201</f>
        <v/>
      </c>
    </row>
    <row r="264" ht="15.75" customHeight="1">
      <c r="A264" s="22">
        <v>17.0</v>
      </c>
      <c r="B264" s="96" t="s">
        <v>59</v>
      </c>
      <c r="C264" s="95">
        <f>E212</f>
        <v>0</v>
      </c>
    </row>
    <row r="265" ht="15.75" customHeight="1">
      <c r="A265" s="22">
        <v>18.0</v>
      </c>
      <c r="B265" s="96" t="s">
        <v>104</v>
      </c>
      <c r="C265" s="95">
        <f>F220</f>
        <v>0</v>
      </c>
    </row>
    <row r="266" ht="15.75" customHeight="1">
      <c r="A266" s="22">
        <v>19.0</v>
      </c>
      <c r="B266" s="96" t="s">
        <v>60</v>
      </c>
      <c r="C266" s="95">
        <f>F232</f>
        <v>0</v>
      </c>
    </row>
    <row r="267" ht="15.75" customHeight="1">
      <c r="A267" s="22">
        <v>20.0</v>
      </c>
      <c r="B267" s="96" t="s">
        <v>61</v>
      </c>
      <c r="C267" s="95"/>
    </row>
    <row r="268" ht="15.75" customHeight="1">
      <c r="A268" s="22"/>
      <c r="B268" s="25"/>
      <c r="C268" s="95"/>
    </row>
    <row r="269" ht="15.75" customHeight="1">
      <c r="A269" s="97" t="s">
        <v>62</v>
      </c>
      <c r="B269" s="98"/>
      <c r="C269" s="99">
        <f>SUM(C249:C267)</f>
        <v>400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H36:H43"/>
    <mergeCell ref="I50:I62"/>
    <mergeCell ref="G69:G76"/>
    <mergeCell ref="A1:J1"/>
    <mergeCell ref="A4:J4"/>
    <mergeCell ref="J8:J15"/>
    <mergeCell ref="A18:F18"/>
    <mergeCell ref="F22:F29"/>
    <mergeCell ref="A32:H32"/>
    <mergeCell ref="A46:I46"/>
    <mergeCell ref="A65:G65"/>
    <mergeCell ref="A79:E79"/>
    <mergeCell ref="C83:C90"/>
    <mergeCell ref="D83:D90"/>
    <mergeCell ref="E83:E90"/>
    <mergeCell ref="F83:F90"/>
    <mergeCell ref="A93:E93"/>
    <mergeCell ref="D97:D103"/>
    <mergeCell ref="E97:E103"/>
    <mergeCell ref="F97:F103"/>
    <mergeCell ref="A106:E106"/>
    <mergeCell ref="D110:D117"/>
    <mergeCell ref="E110:E117"/>
    <mergeCell ref="A120:F120"/>
    <mergeCell ref="F124:F130"/>
    <mergeCell ref="A133:F133"/>
    <mergeCell ref="F137:F143"/>
    <mergeCell ref="A147:G147"/>
    <mergeCell ref="F151:F158"/>
    <mergeCell ref="G151:G158"/>
    <mergeCell ref="A162:G162"/>
    <mergeCell ref="G180:G186"/>
    <mergeCell ref="H201:H205"/>
    <mergeCell ref="A208:E208"/>
    <mergeCell ref="E212:E213"/>
    <mergeCell ref="A216:F216"/>
    <mergeCell ref="F220:F225"/>
    <mergeCell ref="A228:F228"/>
    <mergeCell ref="F232:F237"/>
    <mergeCell ref="A245:C245"/>
    <mergeCell ref="A269:B269"/>
    <mergeCell ref="G166:G173"/>
    <mergeCell ref="A176:F176"/>
    <mergeCell ref="D180:D186"/>
    <mergeCell ref="E180:E186"/>
    <mergeCell ref="F180:F186"/>
    <mergeCell ref="A189:D189"/>
    <mergeCell ref="A197:H19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7.43"/>
    <col customWidth="1" min="3" max="3" width="24.86"/>
    <col customWidth="1" min="4" max="4" width="32.14"/>
    <col customWidth="1" min="5" max="5" width="28.86"/>
    <col customWidth="1" min="6" max="6" width="29.29"/>
    <col customWidth="1" min="7" max="7" width="23.43"/>
    <col customWidth="1" min="8" max="8" width="23.0"/>
    <col customWidth="1" min="9" max="9" width="14.86"/>
    <col customWidth="1" min="10" max="10" width="14.0"/>
    <col customWidth="1" min="1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4">
      <c r="A4" s="5" t="s">
        <v>1</v>
      </c>
      <c r="B4" s="2"/>
      <c r="C4" s="2"/>
      <c r="D4" s="2"/>
      <c r="E4" s="2"/>
      <c r="F4" s="2"/>
      <c r="G4" s="2"/>
      <c r="H4" s="2"/>
      <c r="I4" s="2"/>
      <c r="J4" s="3"/>
    </row>
    <row r="5">
      <c r="A5" s="7"/>
      <c r="B5" s="8"/>
      <c r="C5" s="8"/>
      <c r="D5" s="8"/>
      <c r="E5" s="8"/>
      <c r="F5" s="8"/>
      <c r="G5" s="8"/>
      <c r="H5" s="9"/>
      <c r="J5" s="10"/>
    </row>
    <row r="6" ht="54.75" customHeight="1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63</v>
      </c>
      <c r="I6" s="13" t="s">
        <v>10</v>
      </c>
      <c r="J6" s="15" t="s">
        <v>11</v>
      </c>
    </row>
    <row r="7" ht="18.0" customHeight="1">
      <c r="A7" s="17"/>
      <c r="B7" s="18"/>
      <c r="C7" s="19"/>
      <c r="D7" s="19"/>
      <c r="E7" s="19"/>
      <c r="F7" s="19"/>
      <c r="G7" s="19"/>
      <c r="H7" s="19"/>
      <c r="I7" s="19"/>
      <c r="J7" s="100"/>
    </row>
    <row r="8">
      <c r="A8" s="22">
        <v>1.0</v>
      </c>
      <c r="B8" s="25"/>
      <c r="C8" s="25"/>
      <c r="D8" s="25"/>
      <c r="E8" s="25"/>
      <c r="F8" s="25"/>
      <c r="G8" s="25"/>
      <c r="H8" s="25"/>
      <c r="I8" s="101">
        <f t="shared" ref="I8:I15" si="1">SUM((E8*300)+(F8*200)+(G8*50)+(H8*0))</f>
        <v>0</v>
      </c>
      <c r="J8" s="43">
        <f>SUM(I8:I15)</f>
        <v>0</v>
      </c>
    </row>
    <row r="9">
      <c r="A9" s="22"/>
      <c r="B9" s="25"/>
      <c r="C9" s="25"/>
      <c r="D9" s="25"/>
      <c r="E9" s="25"/>
      <c r="F9" s="25"/>
      <c r="G9" s="25"/>
      <c r="H9" s="25"/>
      <c r="I9" s="101">
        <f t="shared" si="1"/>
        <v>0</v>
      </c>
      <c r="J9" s="30"/>
    </row>
    <row r="10">
      <c r="A10" s="22"/>
      <c r="B10" s="25"/>
      <c r="C10" s="25"/>
      <c r="D10" s="25"/>
      <c r="E10" s="25"/>
      <c r="F10" s="25"/>
      <c r="G10" s="25"/>
      <c r="H10" s="25"/>
      <c r="I10" s="101">
        <f t="shared" si="1"/>
        <v>0</v>
      </c>
      <c r="J10" s="30"/>
    </row>
    <row r="11">
      <c r="A11" s="22"/>
      <c r="B11" s="25"/>
      <c r="C11" s="25"/>
      <c r="D11" s="25"/>
      <c r="E11" s="25"/>
      <c r="F11" s="25"/>
      <c r="G11" s="25"/>
      <c r="H11" s="25"/>
      <c r="I11" s="101">
        <f t="shared" si="1"/>
        <v>0</v>
      </c>
      <c r="J11" s="30"/>
    </row>
    <row r="12">
      <c r="A12" s="22"/>
      <c r="B12" s="25"/>
      <c r="C12" s="25"/>
      <c r="D12" s="25"/>
      <c r="E12" s="25"/>
      <c r="F12" s="25"/>
      <c r="G12" s="25"/>
      <c r="H12" s="25"/>
      <c r="I12" s="101">
        <f t="shared" si="1"/>
        <v>0</v>
      </c>
      <c r="J12" s="30"/>
    </row>
    <row r="13">
      <c r="A13" s="22"/>
      <c r="B13" s="25"/>
      <c r="C13" s="25"/>
      <c r="D13" s="25"/>
      <c r="E13" s="25"/>
      <c r="F13" s="25"/>
      <c r="G13" s="25"/>
      <c r="H13" s="25"/>
      <c r="I13" s="101">
        <f t="shared" si="1"/>
        <v>0</v>
      </c>
      <c r="J13" s="30"/>
    </row>
    <row r="14">
      <c r="A14" s="22"/>
      <c r="B14" s="25"/>
      <c r="C14" s="25"/>
      <c r="D14" s="25"/>
      <c r="E14" s="25"/>
      <c r="F14" s="25"/>
      <c r="G14" s="25"/>
      <c r="H14" s="25"/>
      <c r="I14" s="101">
        <f t="shared" si="1"/>
        <v>0</v>
      </c>
      <c r="J14" s="30"/>
    </row>
    <row r="15">
      <c r="A15" s="32"/>
      <c r="B15" s="33"/>
      <c r="C15" s="33"/>
      <c r="D15" s="33"/>
      <c r="E15" s="33"/>
      <c r="F15" s="33"/>
      <c r="G15" s="33"/>
      <c r="H15" s="33"/>
      <c r="I15" s="102">
        <f t="shared" si="1"/>
        <v>0</v>
      </c>
      <c r="J15" s="35"/>
    </row>
    <row r="18">
      <c r="A18" s="5" t="s">
        <v>18</v>
      </c>
      <c r="B18" s="2"/>
      <c r="C18" s="2"/>
      <c r="D18" s="2"/>
      <c r="E18" s="2"/>
      <c r="F18" s="3"/>
    </row>
    <row r="19">
      <c r="A19" s="7"/>
      <c r="B19" s="8"/>
      <c r="C19" s="8"/>
      <c r="D19" s="8"/>
      <c r="E19" s="8"/>
      <c r="F19" s="37"/>
    </row>
    <row r="20">
      <c r="A20" s="11" t="s">
        <v>2</v>
      </c>
      <c r="B20" s="12" t="s">
        <v>3</v>
      </c>
      <c r="C20" s="13" t="s">
        <v>19</v>
      </c>
      <c r="D20" s="13" t="s">
        <v>20</v>
      </c>
      <c r="E20" s="13" t="s">
        <v>10</v>
      </c>
      <c r="F20" s="15" t="s">
        <v>11</v>
      </c>
    </row>
    <row r="21" ht="15.75" customHeight="1">
      <c r="A21" s="38"/>
      <c r="B21" s="39"/>
      <c r="C21" s="40"/>
      <c r="D21" s="40"/>
      <c r="E21" s="40"/>
      <c r="F21" s="41"/>
    </row>
    <row r="22" ht="15.75" customHeight="1">
      <c r="A22" s="22"/>
      <c r="B22" s="25"/>
      <c r="C22" s="25"/>
      <c r="D22" s="25"/>
      <c r="E22" s="25">
        <f t="shared" ref="E22:E29" si="2">(D22*500)</f>
        <v>0</v>
      </c>
      <c r="F22" s="43">
        <f>SUM(E22:E29)</f>
        <v>0</v>
      </c>
    </row>
    <row r="23" ht="15.75" customHeight="1">
      <c r="A23" s="22"/>
      <c r="B23" s="25"/>
      <c r="C23" s="25"/>
      <c r="D23" s="25"/>
      <c r="E23" s="25">
        <f t="shared" si="2"/>
        <v>0</v>
      </c>
      <c r="F23" s="30"/>
    </row>
    <row r="24" ht="15.75" customHeight="1">
      <c r="A24" s="22"/>
      <c r="B24" s="25"/>
      <c r="C24" s="25"/>
      <c r="D24" s="25"/>
      <c r="E24" s="25">
        <f t="shared" si="2"/>
        <v>0</v>
      </c>
      <c r="F24" s="30"/>
    </row>
    <row r="25" ht="15.75" customHeight="1">
      <c r="A25" s="22"/>
      <c r="B25" s="25"/>
      <c r="C25" s="25"/>
      <c r="D25" s="25"/>
      <c r="E25" s="25">
        <f t="shared" si="2"/>
        <v>0</v>
      </c>
      <c r="F25" s="30"/>
    </row>
    <row r="26" ht="15.75" customHeight="1">
      <c r="A26" s="22"/>
      <c r="B26" s="25"/>
      <c r="C26" s="25"/>
      <c r="D26" s="25"/>
      <c r="E26" s="25">
        <f t="shared" si="2"/>
        <v>0</v>
      </c>
      <c r="F26" s="30"/>
    </row>
    <row r="27" ht="15.75" customHeight="1">
      <c r="A27" s="22"/>
      <c r="B27" s="25"/>
      <c r="C27" s="25"/>
      <c r="D27" s="25"/>
      <c r="E27" s="25">
        <f t="shared" si="2"/>
        <v>0</v>
      </c>
      <c r="F27" s="30"/>
    </row>
    <row r="28" ht="15.75" customHeight="1">
      <c r="A28" s="22"/>
      <c r="B28" s="25"/>
      <c r="C28" s="25"/>
      <c r="D28" s="25"/>
      <c r="E28" s="25">
        <f t="shared" si="2"/>
        <v>0</v>
      </c>
      <c r="F28" s="30"/>
    </row>
    <row r="29" ht="15.75" customHeight="1">
      <c r="A29" s="32"/>
      <c r="B29" s="33"/>
      <c r="C29" s="33"/>
      <c r="D29" s="33"/>
      <c r="E29" s="33">
        <f t="shared" si="2"/>
        <v>0</v>
      </c>
      <c r="F29" s="35"/>
    </row>
    <row r="30" ht="15.75" customHeight="1"/>
    <row r="31" ht="15.75" customHeight="1"/>
    <row r="32" ht="15.75" customHeight="1">
      <c r="A32" s="5" t="s">
        <v>64</v>
      </c>
      <c r="B32" s="2"/>
      <c r="C32" s="2"/>
      <c r="D32" s="2"/>
      <c r="E32" s="2"/>
      <c r="F32" s="2"/>
      <c r="G32" s="2"/>
      <c r="H32" s="3"/>
    </row>
    <row r="33" ht="15.75" customHeight="1">
      <c r="A33" s="7"/>
      <c r="B33" s="8"/>
      <c r="C33" s="8"/>
      <c r="D33" s="8"/>
      <c r="E33" s="8"/>
      <c r="F33" s="8"/>
      <c r="G33" s="8"/>
      <c r="H33" s="37"/>
    </row>
    <row r="34" ht="15.75" customHeight="1">
      <c r="A34" s="46" t="s">
        <v>2</v>
      </c>
      <c r="B34" s="47" t="s">
        <v>3</v>
      </c>
      <c r="C34" s="48" t="s">
        <v>34</v>
      </c>
      <c r="D34" s="48" t="s">
        <v>65</v>
      </c>
      <c r="E34" s="48" t="s">
        <v>66</v>
      </c>
      <c r="F34" s="48" t="s">
        <v>67</v>
      </c>
      <c r="G34" s="48" t="s">
        <v>10</v>
      </c>
      <c r="H34" s="94" t="s">
        <v>11</v>
      </c>
    </row>
    <row r="35" ht="15.75" customHeight="1">
      <c r="A35" s="16"/>
      <c r="B35" s="50"/>
      <c r="C35" s="16"/>
      <c r="D35" s="16"/>
      <c r="E35" s="16"/>
      <c r="F35" s="16"/>
      <c r="G35" s="16"/>
      <c r="H35" s="41"/>
    </row>
    <row r="36" ht="15.75" customHeight="1">
      <c r="A36" s="22"/>
      <c r="B36" s="25"/>
      <c r="C36" s="25"/>
      <c r="D36" s="25"/>
      <c r="E36" s="25"/>
      <c r="F36" s="25"/>
      <c r="G36" s="25">
        <f t="shared" ref="G36:G43" si="3">SUM((D36*50)+(E36*100)+(F36*150))</f>
        <v>0</v>
      </c>
      <c r="H36" s="43">
        <f>SUM(G36:G43)</f>
        <v>0</v>
      </c>
    </row>
    <row r="37" ht="15.75" customHeight="1">
      <c r="A37" s="22"/>
      <c r="B37" s="29"/>
      <c r="C37" s="25"/>
      <c r="D37" s="25"/>
      <c r="E37" s="25"/>
      <c r="F37" s="25"/>
      <c r="G37" s="25">
        <f t="shared" si="3"/>
        <v>0</v>
      </c>
      <c r="H37" s="30"/>
    </row>
    <row r="38" ht="15.75" customHeight="1">
      <c r="A38" s="22"/>
      <c r="B38" s="29"/>
      <c r="C38" s="25"/>
      <c r="D38" s="25"/>
      <c r="E38" s="25"/>
      <c r="F38" s="25"/>
      <c r="G38" s="25">
        <f t="shared" si="3"/>
        <v>0</v>
      </c>
      <c r="H38" s="30"/>
    </row>
    <row r="39" ht="15.75" customHeight="1">
      <c r="A39" s="22"/>
      <c r="B39" s="29"/>
      <c r="C39" s="25"/>
      <c r="D39" s="25"/>
      <c r="E39" s="25"/>
      <c r="F39" s="25"/>
      <c r="G39" s="25">
        <f t="shared" si="3"/>
        <v>0</v>
      </c>
      <c r="H39" s="30"/>
    </row>
    <row r="40" ht="15.75" customHeight="1">
      <c r="A40" s="22"/>
      <c r="B40" s="29"/>
      <c r="C40" s="25"/>
      <c r="D40" s="25"/>
      <c r="E40" s="25"/>
      <c r="F40" s="25"/>
      <c r="G40" s="25">
        <f t="shared" si="3"/>
        <v>0</v>
      </c>
      <c r="H40" s="30"/>
    </row>
    <row r="41" ht="15.75" customHeight="1">
      <c r="A41" s="22"/>
      <c r="B41" s="29"/>
      <c r="C41" s="25"/>
      <c r="D41" s="25"/>
      <c r="E41" s="25"/>
      <c r="F41" s="25"/>
      <c r="G41" s="25">
        <f t="shared" si="3"/>
        <v>0</v>
      </c>
      <c r="H41" s="30"/>
    </row>
    <row r="42" ht="15.75" customHeight="1">
      <c r="A42" s="22"/>
      <c r="B42" s="29"/>
      <c r="C42" s="25"/>
      <c r="D42" s="25"/>
      <c r="E42" s="25"/>
      <c r="F42" s="25"/>
      <c r="G42" s="25">
        <f t="shared" si="3"/>
        <v>0</v>
      </c>
      <c r="H42" s="30"/>
    </row>
    <row r="43" ht="15.75" customHeight="1">
      <c r="A43" s="32"/>
      <c r="B43" s="62"/>
      <c r="C43" s="33"/>
      <c r="D43" s="33"/>
      <c r="E43" s="33"/>
      <c r="F43" s="33"/>
      <c r="G43" s="33">
        <f t="shared" si="3"/>
        <v>0</v>
      </c>
      <c r="H43" s="35"/>
    </row>
    <row r="44" ht="15.75" customHeight="1"/>
    <row r="45" ht="15.75" customHeight="1"/>
    <row r="46" ht="15.75" customHeight="1">
      <c r="A46" s="44" t="s">
        <v>68</v>
      </c>
      <c r="B46" s="2"/>
      <c r="C46" s="2"/>
      <c r="D46" s="2"/>
      <c r="E46" s="2"/>
      <c r="F46" s="2"/>
      <c r="G46" s="2"/>
      <c r="H46" s="2"/>
      <c r="I46" s="3"/>
    </row>
    <row r="47" ht="15.75" customHeight="1">
      <c r="A47" s="45"/>
      <c r="H47" s="125"/>
      <c r="I47" s="10"/>
    </row>
    <row r="48" ht="15.75" customHeight="1">
      <c r="A48" s="46" t="s">
        <v>2</v>
      </c>
      <c r="B48" s="47" t="s">
        <v>3</v>
      </c>
      <c r="C48" s="48" t="s">
        <v>34</v>
      </c>
      <c r="D48" s="48" t="s">
        <v>65</v>
      </c>
      <c r="E48" s="48" t="s">
        <v>69</v>
      </c>
      <c r="F48" s="48" t="s">
        <v>70</v>
      </c>
      <c r="G48" s="48" t="s">
        <v>71</v>
      </c>
      <c r="H48" s="103" t="s">
        <v>10</v>
      </c>
      <c r="I48" s="94" t="s">
        <v>11</v>
      </c>
    </row>
    <row r="49" ht="15.75" customHeight="1">
      <c r="A49" s="51"/>
      <c r="B49" s="52"/>
      <c r="C49" s="52"/>
      <c r="D49" s="52"/>
      <c r="E49" s="52"/>
      <c r="F49" s="52"/>
      <c r="G49" s="52"/>
      <c r="H49" s="52"/>
      <c r="I49" s="126"/>
    </row>
    <row r="50" ht="15.75" customHeight="1">
      <c r="A50" s="104"/>
      <c r="B50" s="105"/>
      <c r="C50" s="96"/>
      <c r="D50" s="96"/>
      <c r="E50" s="96"/>
      <c r="F50" s="96"/>
      <c r="G50" s="25"/>
      <c r="H50" s="26">
        <f t="shared" ref="H50:H62" si="4">((D50*50)+(E50*150)+(F50*200)+(G50*300))</f>
        <v>0</v>
      </c>
      <c r="I50" s="43">
        <f>SUM(H50:H62)</f>
        <v>0</v>
      </c>
    </row>
    <row r="51" ht="15.75" customHeight="1">
      <c r="A51" s="104"/>
      <c r="B51" s="105"/>
      <c r="C51" s="96"/>
      <c r="D51" s="96"/>
      <c r="E51" s="96"/>
      <c r="F51" s="96"/>
      <c r="G51" s="25"/>
      <c r="H51" s="26">
        <f t="shared" si="4"/>
        <v>0</v>
      </c>
      <c r="I51" s="30"/>
    </row>
    <row r="52" ht="15.75" customHeight="1">
      <c r="A52" s="104"/>
      <c r="B52" s="105"/>
      <c r="C52" s="96"/>
      <c r="D52" s="96"/>
      <c r="E52" s="96"/>
      <c r="F52" s="96"/>
      <c r="G52" s="25"/>
      <c r="H52" s="26">
        <f t="shared" si="4"/>
        <v>0</v>
      </c>
      <c r="I52" s="30"/>
    </row>
    <row r="53" ht="15.75" customHeight="1">
      <c r="A53" s="104"/>
      <c r="B53" s="105"/>
      <c r="C53" s="96"/>
      <c r="D53" s="96"/>
      <c r="E53" s="96"/>
      <c r="F53" s="96"/>
      <c r="G53" s="25"/>
      <c r="H53" s="26">
        <f t="shared" si="4"/>
        <v>0</v>
      </c>
      <c r="I53" s="30"/>
    </row>
    <row r="54" ht="15.75" customHeight="1">
      <c r="A54" s="104"/>
      <c r="B54" s="105"/>
      <c r="C54" s="96"/>
      <c r="D54" s="96"/>
      <c r="E54" s="96"/>
      <c r="F54" s="96"/>
      <c r="G54" s="25"/>
      <c r="H54" s="26">
        <f t="shared" si="4"/>
        <v>0</v>
      </c>
      <c r="I54" s="30"/>
    </row>
    <row r="55" ht="15.75" customHeight="1">
      <c r="A55" s="104"/>
      <c r="B55" s="105"/>
      <c r="C55" s="96"/>
      <c r="D55" s="96"/>
      <c r="E55" s="96"/>
      <c r="F55" s="96"/>
      <c r="G55" s="25"/>
      <c r="H55" s="26">
        <f t="shared" si="4"/>
        <v>0</v>
      </c>
      <c r="I55" s="30"/>
    </row>
    <row r="56" ht="15.75" customHeight="1">
      <c r="A56" s="104"/>
      <c r="B56" s="105"/>
      <c r="C56" s="96"/>
      <c r="D56" s="96"/>
      <c r="E56" s="96"/>
      <c r="F56" s="96"/>
      <c r="G56" s="25"/>
      <c r="H56" s="26">
        <f t="shared" si="4"/>
        <v>0</v>
      </c>
      <c r="I56" s="30"/>
    </row>
    <row r="57" ht="15.75" customHeight="1">
      <c r="A57" s="104"/>
      <c r="B57" s="105"/>
      <c r="C57" s="96"/>
      <c r="D57" s="96"/>
      <c r="E57" s="96"/>
      <c r="F57" s="96"/>
      <c r="G57" s="25"/>
      <c r="H57" s="26">
        <f t="shared" si="4"/>
        <v>0</v>
      </c>
      <c r="I57" s="30"/>
    </row>
    <row r="58" ht="15.75" customHeight="1">
      <c r="A58" s="104"/>
      <c r="B58" s="105"/>
      <c r="C58" s="96"/>
      <c r="D58" s="96"/>
      <c r="E58" s="96"/>
      <c r="F58" s="96"/>
      <c r="G58" s="25"/>
      <c r="H58" s="26">
        <f t="shared" si="4"/>
        <v>0</v>
      </c>
      <c r="I58" s="30"/>
    </row>
    <row r="59" ht="15.75" customHeight="1">
      <c r="A59" s="104"/>
      <c r="B59" s="105"/>
      <c r="C59" s="96"/>
      <c r="D59" s="96"/>
      <c r="E59" s="96"/>
      <c r="F59" s="96"/>
      <c r="G59" s="25"/>
      <c r="H59" s="26">
        <f t="shared" si="4"/>
        <v>0</v>
      </c>
      <c r="I59" s="30"/>
    </row>
    <row r="60" ht="15.75" customHeight="1">
      <c r="A60" s="104"/>
      <c r="B60" s="105"/>
      <c r="C60" s="96"/>
      <c r="D60" s="96"/>
      <c r="E60" s="96"/>
      <c r="F60" s="96"/>
      <c r="G60" s="25"/>
      <c r="H60" s="26">
        <f t="shared" si="4"/>
        <v>0</v>
      </c>
      <c r="I60" s="30"/>
    </row>
    <row r="61" ht="15.75" customHeight="1">
      <c r="A61" s="104"/>
      <c r="B61" s="105"/>
      <c r="C61" s="96"/>
      <c r="D61" s="96"/>
      <c r="E61" s="96"/>
      <c r="F61" s="96"/>
      <c r="G61" s="25"/>
      <c r="H61" s="26">
        <f t="shared" si="4"/>
        <v>0</v>
      </c>
      <c r="I61" s="30"/>
    </row>
    <row r="62" ht="15.75" customHeight="1">
      <c r="A62" s="106"/>
      <c r="B62" s="107"/>
      <c r="C62" s="102"/>
      <c r="D62" s="33"/>
      <c r="E62" s="33"/>
      <c r="F62" s="33"/>
      <c r="G62" s="33"/>
      <c r="H62" s="34">
        <f t="shared" si="4"/>
        <v>0</v>
      </c>
      <c r="I62" s="35"/>
    </row>
    <row r="63" ht="15.75" customHeight="1"/>
    <row r="64" ht="15.75" customHeight="1"/>
    <row r="65" ht="15.75" customHeight="1">
      <c r="A65" s="5" t="s">
        <v>72</v>
      </c>
      <c r="B65" s="2"/>
      <c r="C65" s="2"/>
      <c r="D65" s="2"/>
      <c r="E65" s="2"/>
      <c r="F65" s="2"/>
      <c r="G65" s="3"/>
    </row>
    <row r="66" ht="15.75" customHeight="1">
      <c r="A66" s="7"/>
      <c r="B66" s="8"/>
      <c r="C66" s="8"/>
      <c r="D66" s="8"/>
      <c r="E66" s="8"/>
      <c r="F66" s="108"/>
    </row>
    <row r="67" ht="15.75" customHeight="1">
      <c r="A67" s="11" t="s">
        <v>2</v>
      </c>
      <c r="B67" s="12" t="s">
        <v>3</v>
      </c>
      <c r="C67" s="13" t="s">
        <v>45</v>
      </c>
      <c r="D67" s="13" t="s">
        <v>73</v>
      </c>
      <c r="E67" s="13" t="s">
        <v>74</v>
      </c>
      <c r="F67" s="13" t="s">
        <v>10</v>
      </c>
      <c r="G67" s="15" t="s">
        <v>11</v>
      </c>
    </row>
    <row r="68" ht="15.75" customHeight="1">
      <c r="A68" s="11"/>
      <c r="B68" s="12"/>
      <c r="C68" s="13"/>
      <c r="D68" s="13"/>
      <c r="E68" s="13"/>
      <c r="F68" s="13"/>
      <c r="G68" s="15"/>
    </row>
    <row r="69" ht="15.75" customHeight="1">
      <c r="A69" s="22"/>
      <c r="B69" s="25"/>
      <c r="C69" s="25"/>
      <c r="D69" s="25"/>
      <c r="E69" s="25"/>
      <c r="F69" s="25">
        <f t="shared" ref="F69:F76" si="5">(D69*200)</f>
        <v>0</v>
      </c>
      <c r="G69" s="43">
        <f>SUM(F69*76)</f>
        <v>0</v>
      </c>
    </row>
    <row r="70" ht="15.75" customHeight="1">
      <c r="A70" s="22"/>
      <c r="B70" s="25"/>
      <c r="C70" s="25"/>
      <c r="D70" s="25"/>
      <c r="E70" s="25"/>
      <c r="F70" s="25">
        <f t="shared" si="5"/>
        <v>0</v>
      </c>
      <c r="G70" s="30"/>
    </row>
    <row r="71" ht="15.75" customHeight="1">
      <c r="A71" s="22"/>
      <c r="B71" s="25"/>
      <c r="C71" s="25"/>
      <c r="D71" s="25"/>
      <c r="E71" s="25"/>
      <c r="F71" s="25">
        <f t="shared" si="5"/>
        <v>0</v>
      </c>
      <c r="G71" s="30"/>
    </row>
    <row r="72" ht="15.75" customHeight="1">
      <c r="A72" s="22"/>
      <c r="B72" s="25"/>
      <c r="C72" s="25"/>
      <c r="D72" s="25"/>
      <c r="E72" s="25"/>
      <c r="F72" s="25">
        <f t="shared" si="5"/>
        <v>0</v>
      </c>
      <c r="G72" s="30"/>
    </row>
    <row r="73" ht="15.75" customHeight="1">
      <c r="A73" s="22"/>
      <c r="B73" s="25"/>
      <c r="C73" s="25"/>
      <c r="D73" s="25"/>
      <c r="E73" s="25"/>
      <c r="F73" s="25">
        <f t="shared" si="5"/>
        <v>0</v>
      </c>
      <c r="G73" s="30"/>
    </row>
    <row r="74" ht="15.75" customHeight="1">
      <c r="A74" s="22"/>
      <c r="B74" s="25"/>
      <c r="C74" s="25"/>
      <c r="D74" s="25"/>
      <c r="E74" s="25"/>
      <c r="F74" s="25">
        <f t="shared" si="5"/>
        <v>0</v>
      </c>
      <c r="G74" s="30"/>
    </row>
    <row r="75" ht="15.75" customHeight="1">
      <c r="A75" s="22"/>
      <c r="B75" s="25"/>
      <c r="C75" s="25"/>
      <c r="D75" s="25"/>
      <c r="E75" s="25"/>
      <c r="F75" s="25">
        <f t="shared" si="5"/>
        <v>0</v>
      </c>
      <c r="G75" s="30"/>
    </row>
    <row r="76" ht="15.75" customHeight="1">
      <c r="A76" s="32"/>
      <c r="B76" s="33"/>
      <c r="C76" s="33"/>
      <c r="D76" s="33"/>
      <c r="E76" s="33"/>
      <c r="F76" s="33">
        <f t="shared" si="5"/>
        <v>0</v>
      </c>
      <c r="G76" s="35"/>
    </row>
    <row r="77" ht="15.75" customHeight="1"/>
    <row r="78" ht="15.75" customHeight="1"/>
    <row r="79" ht="15.75" customHeight="1">
      <c r="A79" s="5" t="s">
        <v>75</v>
      </c>
      <c r="B79" s="2"/>
      <c r="C79" s="2"/>
      <c r="D79" s="2"/>
      <c r="E79" s="3"/>
    </row>
    <row r="80" ht="15.75" customHeight="1">
      <c r="A80" s="7"/>
      <c r="B80" s="8"/>
      <c r="C80" s="8"/>
      <c r="D80" s="8"/>
      <c r="E80" s="37"/>
    </row>
    <row r="81" ht="15.75" customHeight="1">
      <c r="A81" s="11" t="s">
        <v>2</v>
      </c>
      <c r="B81" s="12" t="s">
        <v>76</v>
      </c>
      <c r="C81" s="13" t="s">
        <v>77</v>
      </c>
      <c r="D81" s="13" t="s">
        <v>78</v>
      </c>
      <c r="E81" s="15" t="s">
        <v>10</v>
      </c>
      <c r="F81" s="16"/>
    </row>
    <row r="82" ht="15.75" customHeight="1">
      <c r="A82" s="38"/>
      <c r="B82" s="39"/>
      <c r="C82" s="40"/>
      <c r="D82" s="40"/>
      <c r="E82" s="41"/>
      <c r="F82" s="16"/>
    </row>
    <row r="83" ht="15.75" customHeight="1">
      <c r="A83" s="22"/>
      <c r="B83" s="25"/>
      <c r="C83" s="55"/>
      <c r="D83" s="55"/>
      <c r="E83" s="43">
        <f>IF(D83=1,C83*50*2,C83*50)</f>
        <v>0</v>
      </c>
      <c r="F83" s="28"/>
    </row>
    <row r="84" ht="15.75" customHeight="1">
      <c r="A84" s="22"/>
      <c r="B84" s="25"/>
      <c r="C84" s="57"/>
      <c r="D84" s="57"/>
      <c r="E84" s="30"/>
    </row>
    <row r="85" ht="15.75" customHeight="1">
      <c r="A85" s="22"/>
      <c r="B85" s="25"/>
      <c r="C85" s="57"/>
      <c r="D85" s="57"/>
      <c r="E85" s="30"/>
    </row>
    <row r="86" ht="15.75" customHeight="1">
      <c r="A86" s="22"/>
      <c r="B86" s="25"/>
      <c r="C86" s="57"/>
      <c r="D86" s="57"/>
      <c r="E86" s="30"/>
    </row>
    <row r="87" ht="15.75" customHeight="1">
      <c r="A87" s="22"/>
      <c r="B87" s="25"/>
      <c r="C87" s="57"/>
      <c r="D87" s="57"/>
      <c r="E87" s="30"/>
    </row>
    <row r="88" ht="15.75" customHeight="1">
      <c r="A88" s="22"/>
      <c r="B88" s="25"/>
      <c r="C88" s="57"/>
      <c r="D88" s="57"/>
      <c r="E88" s="30"/>
    </row>
    <row r="89" ht="15.75" customHeight="1">
      <c r="A89" s="22"/>
      <c r="B89" s="25"/>
      <c r="C89" s="57"/>
      <c r="D89" s="57"/>
      <c r="E89" s="30"/>
    </row>
    <row r="90" ht="15.75" customHeight="1">
      <c r="A90" s="32"/>
      <c r="B90" s="33"/>
      <c r="C90" s="63"/>
      <c r="D90" s="63"/>
      <c r="E90" s="35"/>
    </row>
    <row r="91" ht="15.75" customHeight="1"/>
    <row r="92" ht="15.75" customHeight="1"/>
    <row r="93" ht="15.75" customHeight="1">
      <c r="A93" s="44" t="s">
        <v>21</v>
      </c>
      <c r="B93" s="2"/>
      <c r="C93" s="2"/>
      <c r="D93" s="2"/>
      <c r="E93" s="3"/>
    </row>
    <row r="94" ht="15.75" customHeight="1">
      <c r="A94" s="45"/>
      <c r="E94" s="10"/>
    </row>
    <row r="95" ht="15.75" customHeight="1">
      <c r="A95" s="46" t="s">
        <v>2</v>
      </c>
      <c r="B95" s="47" t="s">
        <v>3</v>
      </c>
      <c r="C95" s="48" t="s">
        <v>22</v>
      </c>
      <c r="D95" s="48" t="s">
        <v>23</v>
      </c>
      <c r="E95" s="49" t="s">
        <v>11</v>
      </c>
      <c r="F95" s="50"/>
    </row>
    <row r="96" ht="15.75" customHeight="1">
      <c r="A96" s="51"/>
      <c r="B96" s="52"/>
      <c r="C96" s="52"/>
      <c r="D96" s="52"/>
      <c r="E96" s="53"/>
    </row>
    <row r="97" ht="18.75" customHeight="1">
      <c r="A97" s="22">
        <v>1.0</v>
      </c>
      <c r="B97" s="29"/>
      <c r="C97" s="25"/>
      <c r="D97" s="55"/>
      <c r="E97" s="56">
        <f>IF(D97=0,300,D97*-200)</f>
        <v>300</v>
      </c>
      <c r="F97" s="28"/>
    </row>
    <row r="98" ht="15.75" customHeight="1">
      <c r="A98" s="22">
        <v>2.0</v>
      </c>
      <c r="B98" s="29"/>
      <c r="C98" s="25"/>
      <c r="D98" s="57"/>
      <c r="E98" s="30"/>
    </row>
    <row r="99" ht="15.75" customHeight="1">
      <c r="A99" s="22">
        <v>3.0</v>
      </c>
      <c r="B99" s="29"/>
      <c r="C99" s="25"/>
      <c r="D99" s="57"/>
      <c r="E99" s="30"/>
    </row>
    <row r="100" ht="15.75" customHeight="1">
      <c r="A100" s="59">
        <v>4.0</v>
      </c>
      <c r="B100" s="61"/>
      <c r="C100" s="55"/>
      <c r="D100" s="57"/>
      <c r="E100" s="30"/>
    </row>
    <row r="101" ht="15.75" customHeight="1">
      <c r="A101" s="59"/>
      <c r="B101" s="61"/>
      <c r="C101" s="55"/>
      <c r="D101" s="57"/>
      <c r="E101" s="30"/>
    </row>
    <row r="102" ht="15.75" customHeight="1">
      <c r="A102" s="59"/>
      <c r="B102" s="61"/>
      <c r="C102" s="55"/>
      <c r="D102" s="57"/>
      <c r="E102" s="30"/>
    </row>
    <row r="103" ht="15.75" customHeight="1">
      <c r="A103" s="32"/>
      <c r="B103" s="62"/>
      <c r="C103" s="33"/>
      <c r="D103" s="63"/>
      <c r="E103" s="35"/>
    </row>
    <row r="104" ht="15.75" customHeight="1"/>
    <row r="105" ht="15.75" customHeight="1"/>
    <row r="106" ht="15.75" customHeight="1">
      <c r="A106" s="44" t="s">
        <v>29</v>
      </c>
      <c r="B106" s="2"/>
      <c r="C106" s="2"/>
      <c r="D106" s="2"/>
      <c r="E106" s="3"/>
    </row>
    <row r="107" ht="18.0" customHeight="1">
      <c r="A107" s="45"/>
      <c r="E107" s="64"/>
    </row>
    <row r="108" ht="15.75" customHeight="1">
      <c r="A108" s="46" t="s">
        <v>2</v>
      </c>
      <c r="B108" s="47" t="s">
        <v>3</v>
      </c>
      <c r="C108" s="48" t="s">
        <v>30</v>
      </c>
      <c r="D108" s="48" t="s">
        <v>31</v>
      </c>
      <c r="E108" s="49" t="s">
        <v>10</v>
      </c>
      <c r="F108" s="50"/>
    </row>
    <row r="109" ht="15.75" customHeight="1">
      <c r="A109" s="51"/>
      <c r="B109" s="52"/>
      <c r="C109" s="52"/>
      <c r="D109" s="52"/>
      <c r="E109" s="53"/>
    </row>
    <row r="110" ht="15.75" customHeight="1">
      <c r="A110" s="22">
        <v>1.0</v>
      </c>
      <c r="B110" s="29"/>
      <c r="C110" s="25"/>
      <c r="D110" s="55"/>
      <c r="E110" s="43">
        <f>IF(D110=0,100,D110*-20)</f>
        <v>100</v>
      </c>
    </row>
    <row r="111" ht="15.75" customHeight="1">
      <c r="A111" s="22">
        <v>2.0</v>
      </c>
      <c r="B111" s="29"/>
      <c r="C111" s="25"/>
      <c r="D111" s="57"/>
      <c r="E111" s="30"/>
    </row>
    <row r="112" ht="15.75" customHeight="1">
      <c r="A112" s="22">
        <v>3.0</v>
      </c>
      <c r="B112" s="29"/>
      <c r="C112" s="28"/>
      <c r="D112" s="57"/>
      <c r="E112" s="30"/>
    </row>
    <row r="113" ht="15.75" customHeight="1">
      <c r="A113" s="22">
        <v>4.0</v>
      </c>
      <c r="B113" s="29"/>
      <c r="C113" s="25"/>
      <c r="D113" s="57"/>
      <c r="E113" s="30"/>
    </row>
    <row r="114" ht="15.75" customHeight="1">
      <c r="A114" s="22">
        <v>5.0</v>
      </c>
      <c r="B114" s="29"/>
      <c r="C114" s="25"/>
      <c r="D114" s="57"/>
      <c r="E114" s="30"/>
    </row>
    <row r="115" ht="15.75" customHeight="1">
      <c r="A115" s="22"/>
      <c r="B115" s="29"/>
      <c r="C115" s="25"/>
      <c r="D115" s="57"/>
      <c r="E115" s="30"/>
    </row>
    <row r="116" ht="15.75" customHeight="1">
      <c r="A116" s="22"/>
      <c r="B116" s="29"/>
      <c r="C116" s="25"/>
      <c r="D116" s="57"/>
      <c r="E116" s="30"/>
    </row>
    <row r="117" ht="15.75" customHeight="1">
      <c r="A117" s="32"/>
      <c r="B117" s="62"/>
      <c r="C117" s="33"/>
      <c r="D117" s="63"/>
      <c r="E117" s="35"/>
    </row>
    <row r="118" ht="15.75" customHeight="1"/>
    <row r="119" ht="15.75" customHeight="1"/>
    <row r="120" ht="15.75" customHeight="1">
      <c r="A120" s="5" t="s">
        <v>33</v>
      </c>
      <c r="B120" s="2"/>
      <c r="C120" s="2"/>
      <c r="D120" s="2"/>
      <c r="E120" s="2"/>
      <c r="F120" s="3"/>
    </row>
    <row r="121" ht="20.25" customHeight="1">
      <c r="A121" s="66"/>
      <c r="B121" s="67"/>
      <c r="C121" s="67"/>
      <c r="D121" s="67"/>
      <c r="E121" s="67"/>
      <c r="F121" s="10"/>
    </row>
    <row r="122" ht="15.75" customHeight="1">
      <c r="A122" s="46" t="s">
        <v>2</v>
      </c>
      <c r="B122" s="47" t="s">
        <v>3</v>
      </c>
      <c r="C122" s="48" t="s">
        <v>34</v>
      </c>
      <c r="D122" s="48" t="s">
        <v>35</v>
      </c>
      <c r="E122" s="47" t="s">
        <v>10</v>
      </c>
      <c r="F122" s="49" t="s">
        <v>11</v>
      </c>
    </row>
    <row r="123" ht="15.75" customHeight="1">
      <c r="A123" s="68"/>
      <c r="B123" s="28"/>
      <c r="C123" s="28"/>
      <c r="D123" s="28"/>
      <c r="E123" s="69"/>
      <c r="F123" s="70"/>
    </row>
    <row r="124" ht="15.75" customHeight="1">
      <c r="A124" s="22">
        <v>1.0</v>
      </c>
      <c r="B124" s="29"/>
      <c r="C124" s="29"/>
      <c r="D124" s="25"/>
      <c r="E124" s="25">
        <f t="shared" ref="E124:E130" si="6">(D124*100)</f>
        <v>0</v>
      </c>
      <c r="F124" s="43">
        <f>SUM(E124:E130)</f>
        <v>0</v>
      </c>
    </row>
    <row r="125" ht="15.75" customHeight="1">
      <c r="A125" s="22">
        <v>2.0</v>
      </c>
      <c r="B125" s="29"/>
      <c r="C125" s="29"/>
      <c r="D125" s="25"/>
      <c r="E125" s="25">
        <f t="shared" si="6"/>
        <v>0</v>
      </c>
      <c r="F125" s="30"/>
    </row>
    <row r="126" ht="15.75" customHeight="1">
      <c r="A126" s="22">
        <v>3.0</v>
      </c>
      <c r="B126" s="29"/>
      <c r="C126" s="29"/>
      <c r="D126" s="25"/>
      <c r="E126" s="25">
        <f t="shared" si="6"/>
        <v>0</v>
      </c>
      <c r="F126" s="30"/>
    </row>
    <row r="127" ht="15.75" customHeight="1">
      <c r="A127" s="22">
        <v>4.0</v>
      </c>
      <c r="B127" s="29"/>
      <c r="C127" s="29"/>
      <c r="D127" s="25"/>
      <c r="E127" s="25">
        <f t="shared" si="6"/>
        <v>0</v>
      </c>
      <c r="F127" s="30"/>
    </row>
    <row r="128" ht="15.75" customHeight="1">
      <c r="A128" s="22"/>
      <c r="B128" s="29"/>
      <c r="C128" s="29"/>
      <c r="D128" s="25"/>
      <c r="E128" s="25">
        <f t="shared" si="6"/>
        <v>0</v>
      </c>
      <c r="F128" s="30"/>
    </row>
    <row r="129" ht="15.75" customHeight="1">
      <c r="A129" s="22"/>
      <c r="B129" s="29"/>
      <c r="C129" s="29"/>
      <c r="D129" s="25"/>
      <c r="E129" s="25">
        <f t="shared" si="6"/>
        <v>0</v>
      </c>
      <c r="F129" s="30"/>
    </row>
    <row r="130" ht="15.75" customHeight="1">
      <c r="A130" s="32"/>
      <c r="B130" s="62"/>
      <c r="C130" s="62"/>
      <c r="D130" s="33"/>
      <c r="E130" s="33">
        <f t="shared" si="6"/>
        <v>0</v>
      </c>
      <c r="F130" s="35"/>
    </row>
    <row r="131" ht="15.75" customHeight="1">
      <c r="A131" s="28"/>
      <c r="B131" s="71"/>
      <c r="C131" s="71"/>
      <c r="D131" s="28"/>
      <c r="E131" s="28"/>
      <c r="F131" s="28"/>
    </row>
    <row r="132" ht="15.75" customHeight="1"/>
    <row r="133" ht="15.75" customHeight="1">
      <c r="A133" s="5" t="s">
        <v>36</v>
      </c>
      <c r="B133" s="2"/>
      <c r="C133" s="2"/>
      <c r="D133" s="2"/>
      <c r="E133" s="2"/>
      <c r="F133" s="3"/>
    </row>
    <row r="134" ht="18.75" customHeight="1">
      <c r="A134" s="66"/>
      <c r="B134" s="67"/>
      <c r="C134" s="67"/>
      <c r="D134" s="67"/>
      <c r="E134" s="67"/>
      <c r="F134" s="72"/>
    </row>
    <row r="135" ht="15.75" customHeight="1">
      <c r="A135" s="46" t="s">
        <v>2</v>
      </c>
      <c r="B135" s="47" t="s">
        <v>3</v>
      </c>
      <c r="C135" s="48" t="s">
        <v>34</v>
      </c>
      <c r="D135" s="48" t="s">
        <v>37</v>
      </c>
      <c r="E135" s="47" t="s">
        <v>10</v>
      </c>
      <c r="F135" s="73" t="s">
        <v>11</v>
      </c>
    </row>
    <row r="136" ht="15.75" customHeight="1">
      <c r="A136" s="68"/>
      <c r="B136" s="28"/>
      <c r="C136" s="28"/>
      <c r="D136" s="28"/>
      <c r="E136" s="18"/>
      <c r="F136" s="74"/>
    </row>
    <row r="137" ht="15.75" customHeight="1">
      <c r="A137" s="22">
        <v>1.0</v>
      </c>
      <c r="B137" s="29"/>
      <c r="C137" s="25"/>
      <c r="D137" s="25"/>
      <c r="E137" s="75">
        <f t="shared" ref="E137:E143" si="7">(D137*100)</f>
        <v>0</v>
      </c>
      <c r="F137" s="43">
        <f>SUM(E137:E143)</f>
        <v>0</v>
      </c>
    </row>
    <row r="138" ht="15.75" customHeight="1">
      <c r="A138" s="22"/>
      <c r="B138" s="29"/>
      <c r="C138" s="25"/>
      <c r="D138" s="25"/>
      <c r="E138" s="75">
        <f t="shared" si="7"/>
        <v>0</v>
      </c>
      <c r="F138" s="30"/>
    </row>
    <row r="139" ht="15.75" customHeight="1">
      <c r="A139" s="22"/>
      <c r="B139" s="29"/>
      <c r="C139" s="25"/>
      <c r="D139" s="25"/>
      <c r="E139" s="75">
        <f t="shared" si="7"/>
        <v>0</v>
      </c>
      <c r="F139" s="30"/>
    </row>
    <row r="140" ht="15.75" customHeight="1">
      <c r="A140" s="22"/>
      <c r="B140" s="29"/>
      <c r="C140" s="25"/>
      <c r="D140" s="76"/>
      <c r="E140" s="75">
        <f t="shared" si="7"/>
        <v>0</v>
      </c>
      <c r="F140" s="30"/>
    </row>
    <row r="141" ht="15.75" customHeight="1">
      <c r="A141" s="22"/>
      <c r="B141" s="29"/>
      <c r="C141" s="25"/>
      <c r="D141" s="76"/>
      <c r="E141" s="75">
        <f t="shared" si="7"/>
        <v>0</v>
      </c>
      <c r="F141" s="30"/>
    </row>
    <row r="142" ht="15.75" customHeight="1">
      <c r="A142" s="22"/>
      <c r="B142" s="29"/>
      <c r="C142" s="26"/>
      <c r="D142" s="76"/>
      <c r="E142" s="75">
        <f t="shared" si="7"/>
        <v>0</v>
      </c>
      <c r="F142" s="30"/>
    </row>
    <row r="143" ht="15.75" customHeight="1">
      <c r="A143" s="32"/>
      <c r="B143" s="62"/>
      <c r="C143" s="34"/>
      <c r="D143" s="77"/>
      <c r="E143" s="33">
        <f t="shared" si="7"/>
        <v>0</v>
      </c>
      <c r="F143" s="35"/>
    </row>
    <row r="144" ht="15.75" customHeight="1"/>
    <row r="145" ht="15.75" customHeight="1"/>
    <row r="146" ht="15.75" customHeight="1"/>
    <row r="147" ht="15.75" customHeight="1">
      <c r="A147" s="5" t="s">
        <v>79</v>
      </c>
      <c r="B147" s="2"/>
      <c r="C147" s="2"/>
      <c r="D147" s="2"/>
      <c r="E147" s="2"/>
      <c r="F147" s="2"/>
      <c r="G147" s="3"/>
    </row>
    <row r="148" ht="15.75" customHeight="1">
      <c r="A148" s="7"/>
      <c r="B148" s="8"/>
      <c r="C148" s="8"/>
      <c r="D148" s="8"/>
      <c r="E148" s="8"/>
      <c r="F148" s="8"/>
      <c r="G148" s="37"/>
    </row>
    <row r="149" ht="15.75" customHeight="1">
      <c r="A149" s="11" t="s">
        <v>2</v>
      </c>
      <c r="B149" s="12" t="s">
        <v>3</v>
      </c>
      <c r="C149" s="13" t="s">
        <v>45</v>
      </c>
      <c r="D149" s="13" t="s">
        <v>105</v>
      </c>
      <c r="E149" s="13" t="s">
        <v>81</v>
      </c>
      <c r="F149" s="13" t="s">
        <v>10</v>
      </c>
      <c r="G149" s="15" t="s">
        <v>11</v>
      </c>
    </row>
    <row r="150" ht="15.75" customHeight="1">
      <c r="A150" s="38"/>
      <c r="B150" s="39"/>
      <c r="C150" s="40"/>
      <c r="D150" s="40"/>
      <c r="E150" s="40"/>
      <c r="F150" s="40"/>
      <c r="G150" s="41"/>
    </row>
    <row r="151" ht="15.75" customHeight="1">
      <c r="A151" s="22"/>
      <c r="B151" s="25"/>
      <c r="C151" s="25"/>
      <c r="D151" s="25"/>
      <c r="E151" s="25"/>
      <c r="F151" s="55">
        <f>SUM(E151:E158)</f>
        <v>0</v>
      </c>
      <c r="G151" s="43">
        <f>F151/10000*100</f>
        <v>0</v>
      </c>
    </row>
    <row r="152" ht="15.75" customHeight="1">
      <c r="A152" s="22"/>
      <c r="B152" s="25"/>
      <c r="C152" s="25"/>
      <c r="D152" s="25"/>
      <c r="E152" s="25"/>
      <c r="F152" s="57"/>
      <c r="G152" s="30"/>
    </row>
    <row r="153" ht="15.75" customHeight="1">
      <c r="A153" s="22"/>
      <c r="B153" s="25"/>
      <c r="C153" s="25"/>
      <c r="D153" s="25"/>
      <c r="E153" s="25"/>
      <c r="F153" s="57"/>
      <c r="G153" s="30"/>
    </row>
    <row r="154" ht="15.75" customHeight="1">
      <c r="A154" s="22"/>
      <c r="B154" s="25"/>
      <c r="C154" s="25"/>
      <c r="D154" s="25"/>
      <c r="E154" s="25"/>
      <c r="F154" s="57"/>
      <c r="G154" s="30"/>
    </row>
    <row r="155" ht="15.75" customHeight="1">
      <c r="A155" s="22"/>
      <c r="B155" s="25"/>
      <c r="C155" s="25"/>
      <c r="D155" s="25"/>
      <c r="E155" s="25"/>
      <c r="F155" s="57"/>
      <c r="G155" s="30"/>
    </row>
    <row r="156" ht="15.75" customHeight="1">
      <c r="A156" s="22"/>
      <c r="B156" s="25"/>
      <c r="C156" s="25"/>
      <c r="D156" s="25"/>
      <c r="E156" s="25"/>
      <c r="F156" s="57"/>
      <c r="G156" s="30"/>
    </row>
    <row r="157" ht="15.75" customHeight="1">
      <c r="A157" s="22"/>
      <c r="B157" s="25"/>
      <c r="C157" s="25"/>
      <c r="D157" s="25"/>
      <c r="E157" s="25"/>
      <c r="F157" s="57"/>
      <c r="G157" s="30"/>
    </row>
    <row r="158" ht="15.75" customHeight="1">
      <c r="A158" s="32"/>
      <c r="B158" s="33"/>
      <c r="C158" s="33"/>
      <c r="D158" s="33"/>
      <c r="E158" s="33"/>
      <c r="F158" s="63"/>
      <c r="G158" s="35"/>
    </row>
    <row r="159" ht="15.75" customHeight="1"/>
    <row r="160" ht="15.75" customHeight="1"/>
    <row r="161" ht="15.75" customHeight="1"/>
    <row r="162" ht="15.75" customHeight="1">
      <c r="A162" s="5" t="s">
        <v>82</v>
      </c>
      <c r="B162" s="2"/>
      <c r="C162" s="2"/>
      <c r="D162" s="2"/>
      <c r="E162" s="2"/>
      <c r="F162" s="2"/>
      <c r="G162" s="3"/>
    </row>
    <row r="163" ht="15.75" customHeight="1">
      <c r="A163" s="7"/>
      <c r="B163" s="8"/>
      <c r="C163" s="8"/>
      <c r="D163" s="8"/>
      <c r="E163" s="8"/>
      <c r="F163" s="8"/>
      <c r="G163" s="37"/>
    </row>
    <row r="164" ht="15.75" customHeight="1">
      <c r="A164" s="11" t="s">
        <v>2</v>
      </c>
      <c r="B164" s="12" t="s">
        <v>3</v>
      </c>
      <c r="C164" s="13" t="s">
        <v>83</v>
      </c>
      <c r="D164" s="13" t="s">
        <v>84</v>
      </c>
      <c r="E164" s="13" t="s">
        <v>85</v>
      </c>
      <c r="F164" s="13" t="s">
        <v>10</v>
      </c>
      <c r="G164" s="15" t="s">
        <v>11</v>
      </c>
    </row>
    <row r="165" ht="15.75" customHeight="1">
      <c r="A165" s="38"/>
      <c r="B165" s="39"/>
      <c r="C165" s="40"/>
      <c r="D165" s="19"/>
      <c r="E165" s="40"/>
      <c r="F165" s="40"/>
      <c r="G165" s="41"/>
    </row>
    <row r="166" ht="15.75" customHeight="1">
      <c r="A166" s="22"/>
      <c r="B166" s="25"/>
      <c r="C166" s="25"/>
      <c r="D166" s="25"/>
      <c r="E166" s="25"/>
      <c r="F166" s="25">
        <f t="shared" ref="F166:F173" si="8">SUM(D166*100)</f>
        <v>0</v>
      </c>
      <c r="G166" s="43">
        <f>SUM(F166:F173)</f>
        <v>0</v>
      </c>
    </row>
    <row r="167" ht="15.75" customHeight="1">
      <c r="A167" s="22"/>
      <c r="B167" s="25"/>
      <c r="C167" s="25"/>
      <c r="D167" s="25"/>
      <c r="E167" s="25"/>
      <c r="F167" s="25">
        <f t="shared" si="8"/>
        <v>0</v>
      </c>
      <c r="G167" s="30"/>
    </row>
    <row r="168" ht="15.75" customHeight="1">
      <c r="A168" s="22"/>
      <c r="B168" s="25"/>
      <c r="C168" s="25"/>
      <c r="D168" s="25"/>
      <c r="E168" s="25"/>
      <c r="F168" s="25">
        <f t="shared" si="8"/>
        <v>0</v>
      </c>
      <c r="G168" s="30"/>
    </row>
    <row r="169" ht="15.75" customHeight="1">
      <c r="A169" s="22"/>
      <c r="B169" s="25"/>
      <c r="C169" s="25"/>
      <c r="D169" s="25"/>
      <c r="E169" s="25"/>
      <c r="F169" s="25">
        <f t="shared" si="8"/>
        <v>0</v>
      </c>
      <c r="G169" s="30"/>
    </row>
    <row r="170" ht="15.75" customHeight="1">
      <c r="A170" s="22"/>
      <c r="B170" s="25"/>
      <c r="C170" s="25"/>
      <c r="D170" s="25"/>
      <c r="E170" s="25"/>
      <c r="F170" s="25">
        <f t="shared" si="8"/>
        <v>0</v>
      </c>
      <c r="G170" s="30"/>
    </row>
    <row r="171" ht="15.75" customHeight="1">
      <c r="A171" s="22"/>
      <c r="B171" s="25"/>
      <c r="C171" s="25"/>
      <c r="D171" s="25"/>
      <c r="E171" s="25"/>
      <c r="F171" s="25">
        <f t="shared" si="8"/>
        <v>0</v>
      </c>
      <c r="G171" s="30"/>
    </row>
    <row r="172" ht="15.75" customHeight="1">
      <c r="A172" s="22"/>
      <c r="B172" s="25"/>
      <c r="C172" s="25"/>
      <c r="D172" s="25"/>
      <c r="E172" s="25"/>
      <c r="F172" s="25">
        <f t="shared" si="8"/>
        <v>0</v>
      </c>
      <c r="G172" s="30"/>
    </row>
    <row r="173" ht="15.75" customHeight="1">
      <c r="A173" s="32"/>
      <c r="B173" s="33"/>
      <c r="C173" s="33"/>
      <c r="D173" s="33"/>
      <c r="E173" s="33"/>
      <c r="F173" s="33">
        <f t="shared" si="8"/>
        <v>0</v>
      </c>
      <c r="G173" s="35"/>
    </row>
    <row r="174" ht="15.75" customHeight="1"/>
    <row r="175" ht="15.75" customHeight="1"/>
    <row r="176" ht="15.75" customHeight="1">
      <c r="A176" s="5" t="s">
        <v>86</v>
      </c>
      <c r="B176" s="2"/>
      <c r="C176" s="2"/>
      <c r="D176" s="2"/>
      <c r="E176" s="2"/>
      <c r="F176" s="3"/>
    </row>
    <row r="177" ht="15.75" customHeight="1">
      <c r="A177" s="110"/>
      <c r="B177" s="111"/>
      <c r="C177" s="111"/>
      <c r="D177" s="111"/>
      <c r="E177" s="112"/>
      <c r="F177" s="113"/>
    </row>
    <row r="178" ht="15.75" customHeight="1">
      <c r="A178" s="46" t="s">
        <v>2</v>
      </c>
      <c r="B178" s="48" t="s">
        <v>87</v>
      </c>
      <c r="C178" s="48" t="s">
        <v>34</v>
      </c>
      <c r="D178" s="103" t="s">
        <v>88</v>
      </c>
      <c r="E178" s="114" t="s">
        <v>10</v>
      </c>
      <c r="F178" s="49" t="s">
        <v>11</v>
      </c>
      <c r="G178" s="50"/>
    </row>
    <row r="179" ht="15.75" customHeight="1">
      <c r="A179" s="51"/>
      <c r="B179" s="52"/>
      <c r="C179" s="52"/>
      <c r="D179" s="52"/>
      <c r="E179" s="52"/>
      <c r="F179" s="53"/>
    </row>
    <row r="180" ht="15.75" customHeight="1">
      <c r="A180" s="22"/>
      <c r="B180" s="29"/>
      <c r="C180" s="25"/>
      <c r="D180" s="55"/>
      <c r="E180" s="101">
        <f>SUM(D180*100)</f>
        <v>0</v>
      </c>
      <c r="F180" s="43">
        <f>SUM(E180:E186)</f>
        <v>0</v>
      </c>
      <c r="G180" s="115"/>
    </row>
    <row r="181" ht="15.75" customHeight="1">
      <c r="A181" s="22"/>
      <c r="B181" s="29"/>
      <c r="C181" s="25"/>
      <c r="D181" s="57"/>
      <c r="E181" s="57"/>
      <c r="F181" s="30"/>
    </row>
    <row r="182" ht="15.75" customHeight="1">
      <c r="A182" s="22"/>
      <c r="B182" s="29"/>
      <c r="C182" s="25"/>
      <c r="D182" s="57"/>
      <c r="E182" s="57"/>
      <c r="F182" s="30"/>
    </row>
    <row r="183" ht="15.75" customHeight="1">
      <c r="A183" s="22"/>
      <c r="B183" s="29"/>
      <c r="C183" s="25"/>
      <c r="D183" s="57"/>
      <c r="E183" s="57"/>
      <c r="F183" s="30"/>
    </row>
    <row r="184" ht="15.75" customHeight="1">
      <c r="A184" s="22"/>
      <c r="B184" s="29"/>
      <c r="C184" s="25"/>
      <c r="D184" s="57"/>
      <c r="E184" s="57"/>
      <c r="F184" s="30"/>
    </row>
    <row r="185" ht="15.75" customHeight="1">
      <c r="A185" s="22"/>
      <c r="B185" s="29"/>
      <c r="C185" s="25"/>
      <c r="D185" s="57"/>
      <c r="E185" s="57"/>
      <c r="F185" s="30"/>
    </row>
    <row r="186" ht="15.75" customHeight="1">
      <c r="A186" s="32"/>
      <c r="B186" s="62"/>
      <c r="C186" s="33"/>
      <c r="D186" s="63"/>
      <c r="E186" s="63"/>
      <c r="F186" s="35"/>
    </row>
    <row r="187" ht="15.75" customHeight="1"/>
    <row r="188" ht="15.75" customHeight="1"/>
    <row r="189" ht="15.75" customHeight="1">
      <c r="A189" s="5" t="s">
        <v>38</v>
      </c>
      <c r="B189" s="2"/>
      <c r="C189" s="2"/>
      <c r="D189" s="3"/>
    </row>
    <row r="190" ht="15.75" customHeight="1">
      <c r="A190" s="45"/>
      <c r="D190" s="64"/>
    </row>
    <row r="191" ht="15.75" customHeight="1">
      <c r="A191" s="78" t="s">
        <v>39</v>
      </c>
      <c r="B191" s="47" t="s">
        <v>3</v>
      </c>
      <c r="C191" s="48" t="s">
        <v>40</v>
      </c>
      <c r="D191" s="49" t="s">
        <v>10</v>
      </c>
    </row>
    <row r="192" ht="15.75" customHeight="1">
      <c r="A192" s="68"/>
      <c r="B192" s="28"/>
      <c r="C192" s="28"/>
      <c r="D192" s="70"/>
    </row>
    <row r="193" ht="15.75" customHeight="1">
      <c r="A193" s="32">
        <v>1.0</v>
      </c>
      <c r="B193" s="33"/>
      <c r="C193" s="33"/>
      <c r="D193" s="81">
        <f>C193*200</f>
        <v>0</v>
      </c>
    </row>
    <row r="194" ht="15.75" customHeight="1">
      <c r="A194" s="8"/>
      <c r="B194" s="8"/>
      <c r="C194" s="8"/>
      <c r="D194" s="8"/>
    </row>
    <row r="195" ht="15.75" customHeight="1"/>
    <row r="196" ht="15.75" customHeight="1"/>
    <row r="197" ht="15.75" customHeight="1">
      <c r="A197" s="5" t="s">
        <v>89</v>
      </c>
      <c r="B197" s="2"/>
      <c r="C197" s="2"/>
      <c r="D197" s="2"/>
      <c r="E197" s="2"/>
      <c r="F197" s="2"/>
      <c r="G197" s="2"/>
      <c r="H197" s="3"/>
    </row>
    <row r="198" ht="15.75" customHeight="1">
      <c r="H198" s="83"/>
    </row>
    <row r="199" ht="15.75" customHeight="1">
      <c r="A199" s="116" t="s">
        <v>90</v>
      </c>
      <c r="B199" s="84" t="s">
        <v>3</v>
      </c>
      <c r="C199" s="85" t="s">
        <v>42</v>
      </c>
      <c r="D199" s="85" t="s">
        <v>91</v>
      </c>
      <c r="E199" s="86" t="s">
        <v>92</v>
      </c>
      <c r="F199" s="85" t="s">
        <v>93</v>
      </c>
      <c r="G199" s="118" t="s">
        <v>10</v>
      </c>
      <c r="H199" s="87" t="s">
        <v>11</v>
      </c>
    </row>
    <row r="200" ht="15.75" customHeight="1">
      <c r="A200" s="119"/>
      <c r="G200" s="120"/>
      <c r="H200" s="74"/>
    </row>
    <row r="201" ht="15.75" customHeight="1">
      <c r="A201" s="22"/>
      <c r="B201" s="75"/>
      <c r="C201" s="25"/>
      <c r="D201" s="25"/>
      <c r="E201" s="25"/>
      <c r="F201" s="25"/>
      <c r="G201" s="25">
        <f>SUM(D201+E201)*100</f>
        <v>0</v>
      </c>
      <c r="H201" s="121">
        <f>SUM(G201:G205)</f>
        <v>0</v>
      </c>
    </row>
    <row r="202" ht="15.75" customHeight="1">
      <c r="A202" s="22"/>
      <c r="B202" s="75"/>
      <c r="C202" s="25"/>
      <c r="D202" s="25"/>
      <c r="E202" s="25"/>
      <c r="F202" s="25"/>
      <c r="G202" s="25">
        <f t="shared" ref="G202:G205" si="9">SUM(D202)+(E202)*100</f>
        <v>0</v>
      </c>
      <c r="H202" s="122"/>
    </row>
    <row r="203" ht="15.75" customHeight="1">
      <c r="A203" s="22"/>
      <c r="B203" s="75"/>
      <c r="C203" s="25"/>
      <c r="D203" s="25"/>
      <c r="E203" s="25"/>
      <c r="F203" s="25"/>
      <c r="G203" s="25">
        <f t="shared" si="9"/>
        <v>0</v>
      </c>
      <c r="H203" s="122"/>
    </row>
    <row r="204" ht="15.75" customHeight="1">
      <c r="A204" s="22"/>
      <c r="B204" s="75"/>
      <c r="C204" s="25"/>
      <c r="D204" s="25"/>
      <c r="E204" s="25"/>
      <c r="F204" s="25"/>
      <c r="G204" s="25">
        <f t="shared" si="9"/>
        <v>0</v>
      </c>
      <c r="H204" s="122"/>
    </row>
    <row r="205" ht="15.75" customHeight="1">
      <c r="A205" s="32"/>
      <c r="B205" s="123"/>
      <c r="C205" s="33"/>
      <c r="D205" s="33"/>
      <c r="E205" s="33"/>
      <c r="F205" s="33"/>
      <c r="G205" s="33">
        <f t="shared" si="9"/>
        <v>0</v>
      </c>
      <c r="H205" s="124"/>
    </row>
    <row r="206" ht="15.75" customHeight="1">
      <c r="A206" s="28"/>
      <c r="B206" s="28"/>
      <c r="C206" s="28"/>
      <c r="D206" s="28"/>
      <c r="E206" s="28"/>
      <c r="F206" s="28"/>
      <c r="G206" s="28"/>
    </row>
    <row r="207" ht="15.75" customHeight="1"/>
    <row r="208" ht="15.75" customHeight="1">
      <c r="A208" s="5" t="s">
        <v>41</v>
      </c>
      <c r="B208" s="2"/>
      <c r="C208" s="2"/>
      <c r="D208" s="2"/>
      <c r="E208" s="3"/>
    </row>
    <row r="209" ht="15.75" customHeight="1">
      <c r="E209" s="83"/>
    </row>
    <row r="210" ht="15.75" customHeight="1">
      <c r="A210" s="84" t="s">
        <v>39</v>
      </c>
      <c r="B210" s="85" t="s">
        <v>3</v>
      </c>
      <c r="C210" s="85" t="s">
        <v>42</v>
      </c>
      <c r="D210" s="86" t="s">
        <v>43</v>
      </c>
      <c r="E210" s="87" t="s">
        <v>11</v>
      </c>
    </row>
    <row r="211" ht="15.75" customHeight="1">
      <c r="A211" s="45"/>
      <c r="E211" s="64"/>
    </row>
    <row r="212" ht="15.75" customHeight="1">
      <c r="A212" s="88">
        <v>1.0</v>
      </c>
      <c r="B212" s="90"/>
      <c r="C212" s="90"/>
      <c r="D212" s="90">
        <v>0.0</v>
      </c>
      <c r="E212" s="56">
        <f>D212*200</f>
        <v>0</v>
      </c>
    </row>
    <row r="213" ht="15.75" customHeight="1">
      <c r="A213" s="91"/>
      <c r="B213" s="92"/>
      <c r="C213" s="92"/>
      <c r="D213" s="92"/>
      <c r="E213" s="35"/>
    </row>
    <row r="214" ht="15.75" customHeight="1">
      <c r="A214" s="52"/>
      <c r="B214" s="52"/>
      <c r="C214" s="52"/>
      <c r="D214" s="52"/>
      <c r="E214" s="52"/>
    </row>
    <row r="215" ht="15.75" customHeight="1"/>
    <row r="216" ht="15.75" customHeight="1">
      <c r="A216" s="5" t="s">
        <v>94</v>
      </c>
      <c r="B216" s="2"/>
      <c r="C216" s="2"/>
      <c r="D216" s="2"/>
      <c r="E216" s="2"/>
      <c r="F216" s="3"/>
    </row>
    <row r="217" ht="15.75" customHeight="1">
      <c r="F217" s="72"/>
    </row>
    <row r="218" ht="15.75" customHeight="1">
      <c r="A218" s="78" t="s">
        <v>39</v>
      </c>
      <c r="B218" s="47" t="s">
        <v>3</v>
      </c>
      <c r="C218" s="48" t="s">
        <v>45</v>
      </c>
      <c r="D218" s="48" t="s">
        <v>95</v>
      </c>
      <c r="E218" s="47" t="s">
        <v>10</v>
      </c>
      <c r="F218" s="49" t="s">
        <v>11</v>
      </c>
    </row>
    <row r="219" ht="15.75" customHeight="1">
      <c r="A219" s="45"/>
      <c r="F219" s="64"/>
    </row>
    <row r="220" ht="15.75" customHeight="1">
      <c r="A220" s="88">
        <v>1.0</v>
      </c>
      <c r="B220" s="90"/>
      <c r="C220" s="90"/>
      <c r="D220" s="90"/>
      <c r="E220" s="90">
        <f t="shared" ref="E220:E225" si="10">D220*50</f>
        <v>0</v>
      </c>
      <c r="F220" s="56">
        <f>SUM(E220,E221,E222,E223,E224,E225)</f>
        <v>0</v>
      </c>
    </row>
    <row r="221" ht="15.75" customHeight="1">
      <c r="A221" s="88">
        <v>2.0</v>
      </c>
      <c r="B221" s="90"/>
      <c r="C221" s="90"/>
      <c r="D221" s="90"/>
      <c r="E221" s="90">
        <f t="shared" si="10"/>
        <v>0</v>
      </c>
      <c r="F221" s="30"/>
    </row>
    <row r="222" ht="15.75" customHeight="1">
      <c r="A222" s="88">
        <v>3.0</v>
      </c>
      <c r="B222" s="90"/>
      <c r="C222" s="90"/>
      <c r="D222" s="90"/>
      <c r="E222" s="90">
        <f t="shared" si="10"/>
        <v>0</v>
      </c>
      <c r="F222" s="30"/>
    </row>
    <row r="223" ht="15.75" customHeight="1">
      <c r="A223" s="88">
        <v>4.0</v>
      </c>
      <c r="B223" s="90"/>
      <c r="C223" s="90"/>
      <c r="D223" s="90"/>
      <c r="E223" s="90">
        <f t="shared" si="10"/>
        <v>0</v>
      </c>
      <c r="F223" s="30"/>
    </row>
    <row r="224" ht="15.75" customHeight="1">
      <c r="A224" s="88">
        <v>5.0</v>
      </c>
      <c r="B224" s="90"/>
      <c r="C224" s="90"/>
      <c r="D224" s="90"/>
      <c r="E224" s="90">
        <f t="shared" si="10"/>
        <v>0</v>
      </c>
      <c r="F224" s="30"/>
    </row>
    <row r="225" ht="15.75" customHeight="1">
      <c r="A225" s="91"/>
      <c r="B225" s="92"/>
      <c r="C225" s="92"/>
      <c r="D225" s="92"/>
      <c r="E225" s="92">
        <f t="shared" si="10"/>
        <v>0</v>
      </c>
      <c r="F225" s="35"/>
    </row>
    <row r="226" ht="15.75" customHeight="1"/>
    <row r="227" ht="15.75" customHeight="1"/>
    <row r="228" ht="15.75" customHeight="1">
      <c r="A228" s="5" t="s">
        <v>44</v>
      </c>
      <c r="B228" s="2"/>
      <c r="C228" s="2"/>
      <c r="D228" s="2"/>
      <c r="E228" s="2"/>
      <c r="F228" s="3"/>
    </row>
    <row r="229" ht="15.75" customHeight="1">
      <c r="F229" s="83"/>
    </row>
    <row r="230" ht="15.75" customHeight="1">
      <c r="A230" s="84" t="s">
        <v>39</v>
      </c>
      <c r="B230" s="85" t="s">
        <v>3</v>
      </c>
      <c r="C230" s="86" t="s">
        <v>45</v>
      </c>
      <c r="D230" s="86" t="s">
        <v>46</v>
      </c>
      <c r="E230" s="85" t="s">
        <v>10</v>
      </c>
      <c r="F230" s="87" t="s">
        <v>11</v>
      </c>
    </row>
    <row r="231" ht="15.75" customHeight="1">
      <c r="A231" s="68"/>
      <c r="B231" s="28"/>
      <c r="C231" s="28"/>
      <c r="D231" s="28"/>
      <c r="E231" s="28"/>
      <c r="F231" s="70"/>
    </row>
    <row r="232" ht="15.75" customHeight="1">
      <c r="A232" s="22">
        <v>1.0</v>
      </c>
      <c r="B232" s="25"/>
      <c r="C232" s="25"/>
      <c r="D232" s="25"/>
      <c r="E232" s="25">
        <f t="shared" ref="E232:E237" si="11">D232*50</f>
        <v>0</v>
      </c>
      <c r="F232" s="43">
        <f>SUM(E232,E233,E234,E235,E236,E237)</f>
        <v>0</v>
      </c>
    </row>
    <row r="233" ht="15.75" customHeight="1">
      <c r="A233" s="22">
        <v>2.0</v>
      </c>
      <c r="B233" s="25"/>
      <c r="C233" s="25"/>
      <c r="D233" s="25"/>
      <c r="E233" s="25">
        <f t="shared" si="11"/>
        <v>0</v>
      </c>
      <c r="F233" s="30"/>
    </row>
    <row r="234" ht="15.75" customHeight="1">
      <c r="A234" s="22">
        <v>3.0</v>
      </c>
      <c r="B234" s="25"/>
      <c r="C234" s="25"/>
      <c r="D234" s="25"/>
      <c r="E234" s="25">
        <f t="shared" si="11"/>
        <v>0</v>
      </c>
      <c r="F234" s="30"/>
    </row>
    <row r="235" ht="15.75" customHeight="1">
      <c r="A235" s="22">
        <v>4.0</v>
      </c>
      <c r="B235" s="25"/>
      <c r="C235" s="25"/>
      <c r="D235" s="25"/>
      <c r="E235" s="25">
        <f t="shared" si="11"/>
        <v>0</v>
      </c>
      <c r="F235" s="30"/>
    </row>
    <row r="236" ht="15.75" customHeight="1">
      <c r="A236" s="22">
        <v>5.0</v>
      </c>
      <c r="B236" s="25"/>
      <c r="C236" s="25"/>
      <c r="D236" s="25"/>
      <c r="E236" s="25">
        <f t="shared" si="11"/>
        <v>0</v>
      </c>
      <c r="F236" s="30"/>
    </row>
    <row r="237" ht="15.75" customHeight="1">
      <c r="A237" s="32">
        <v>6.0</v>
      </c>
      <c r="B237" s="33"/>
      <c r="C237" s="33"/>
      <c r="D237" s="33"/>
      <c r="E237" s="33">
        <f t="shared" si="11"/>
        <v>0</v>
      </c>
      <c r="F237" s="3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>
      <c r="A245" s="44" t="s">
        <v>106</v>
      </c>
      <c r="B245" s="2"/>
      <c r="C245" s="3"/>
    </row>
    <row r="246" ht="15.75" customHeight="1">
      <c r="A246" s="45"/>
      <c r="C246" s="64"/>
    </row>
    <row r="247" ht="15.75" customHeight="1">
      <c r="A247" s="46" t="s">
        <v>2</v>
      </c>
      <c r="B247" s="48" t="s">
        <v>50</v>
      </c>
      <c r="C247" s="94" t="s">
        <v>51</v>
      </c>
    </row>
    <row r="248" ht="15.75" customHeight="1">
      <c r="A248" s="38"/>
      <c r="B248" s="40"/>
      <c r="C248" s="41"/>
    </row>
    <row r="249" ht="15.75" customHeight="1">
      <c r="A249" s="22">
        <v>1.0</v>
      </c>
      <c r="B249" s="25" t="s">
        <v>52</v>
      </c>
      <c r="C249" s="95" t="str">
        <f>K8</f>
        <v/>
      </c>
    </row>
    <row r="250" ht="15.75" customHeight="1">
      <c r="A250" s="22">
        <v>2.0</v>
      </c>
      <c r="B250" s="25" t="s">
        <v>53</v>
      </c>
      <c r="C250" s="95">
        <f>F22</f>
        <v>0</v>
      </c>
    </row>
    <row r="251" ht="15.75" customHeight="1">
      <c r="A251" s="22">
        <v>3.0</v>
      </c>
      <c r="B251" s="25" t="s">
        <v>97</v>
      </c>
      <c r="C251" s="95" t="str">
        <f>I36</f>
        <v/>
      </c>
    </row>
    <row r="252" ht="15.75" customHeight="1">
      <c r="A252" s="22">
        <v>4.0</v>
      </c>
      <c r="B252" s="25" t="s">
        <v>68</v>
      </c>
      <c r="C252" s="95">
        <f>I50</f>
        <v>0</v>
      </c>
    </row>
    <row r="253" ht="15.75" customHeight="1">
      <c r="A253" s="22">
        <v>5.0</v>
      </c>
      <c r="B253" s="25" t="s">
        <v>98</v>
      </c>
      <c r="C253" s="95" t="str">
        <f>H69</f>
        <v/>
      </c>
    </row>
    <row r="254" ht="15.75" customHeight="1">
      <c r="A254" s="22">
        <v>6.0</v>
      </c>
      <c r="B254" s="25" t="s">
        <v>99</v>
      </c>
      <c r="C254" s="95">
        <f>E83</f>
        <v>0</v>
      </c>
    </row>
    <row r="255" ht="15.75" customHeight="1">
      <c r="A255" s="22">
        <v>7.0</v>
      </c>
      <c r="B255" s="25" t="s">
        <v>54</v>
      </c>
      <c r="C255" s="95">
        <f>E97</f>
        <v>300</v>
      </c>
    </row>
    <row r="256" ht="15.75" customHeight="1">
      <c r="A256" s="22">
        <v>8.0</v>
      </c>
      <c r="B256" s="96" t="s">
        <v>55</v>
      </c>
      <c r="C256" s="95">
        <f>E110</f>
        <v>100</v>
      </c>
    </row>
    <row r="257" ht="15.75" customHeight="1">
      <c r="A257" s="22">
        <v>9.0</v>
      </c>
      <c r="B257" s="96" t="s">
        <v>56</v>
      </c>
      <c r="C257" s="95">
        <f>F124</f>
        <v>0</v>
      </c>
    </row>
    <row r="258" ht="15.75" customHeight="1">
      <c r="A258" s="22">
        <v>10.0</v>
      </c>
      <c r="B258" s="96" t="s">
        <v>57</v>
      </c>
      <c r="C258" s="95">
        <f>F137</f>
        <v>0</v>
      </c>
    </row>
    <row r="259" ht="15.75" customHeight="1">
      <c r="A259" s="22">
        <v>12.0</v>
      </c>
      <c r="B259" s="96" t="s">
        <v>100</v>
      </c>
      <c r="C259" s="95" t="str">
        <f>H151</f>
        <v/>
      </c>
    </row>
    <row r="260" ht="15.75" customHeight="1">
      <c r="A260" s="22">
        <v>13.0</v>
      </c>
      <c r="B260" s="96" t="s">
        <v>101</v>
      </c>
      <c r="C260" s="95" t="str">
        <f>H166</f>
        <v/>
      </c>
    </row>
    <row r="261" ht="15.75" customHeight="1">
      <c r="A261" s="22">
        <v>14.0</v>
      </c>
      <c r="B261" s="96" t="s">
        <v>102</v>
      </c>
      <c r="C261" s="95">
        <f>F180</f>
        <v>0</v>
      </c>
    </row>
    <row r="262" ht="15.75" customHeight="1">
      <c r="A262" s="22">
        <v>15.0</v>
      </c>
      <c r="B262" s="96" t="s">
        <v>58</v>
      </c>
      <c r="C262" s="95">
        <f>D193</f>
        <v>0</v>
      </c>
    </row>
    <row r="263" ht="15.75" customHeight="1">
      <c r="A263" s="22">
        <v>16.0</v>
      </c>
      <c r="B263" s="96" t="s">
        <v>103</v>
      </c>
      <c r="C263" s="95" t="str">
        <f>I201</f>
        <v/>
      </c>
    </row>
    <row r="264" ht="15.75" customHeight="1">
      <c r="A264" s="22">
        <v>17.0</v>
      </c>
      <c r="B264" s="96" t="s">
        <v>59</v>
      </c>
      <c r="C264" s="95">
        <f>E212</f>
        <v>0</v>
      </c>
    </row>
    <row r="265" ht="15.75" customHeight="1">
      <c r="A265" s="22">
        <v>18.0</v>
      </c>
      <c r="B265" s="96" t="s">
        <v>104</v>
      </c>
      <c r="C265" s="95">
        <f>F220</f>
        <v>0</v>
      </c>
    </row>
    <row r="266" ht="15.75" customHeight="1">
      <c r="A266" s="22">
        <v>19.0</v>
      </c>
      <c r="B266" s="96" t="s">
        <v>60</v>
      </c>
      <c r="C266" s="95">
        <f>F232</f>
        <v>0</v>
      </c>
    </row>
    <row r="267" ht="15.75" customHeight="1">
      <c r="A267" s="22">
        <v>20.0</v>
      </c>
      <c r="B267" s="96" t="s">
        <v>61</v>
      </c>
      <c r="C267" s="95"/>
    </row>
    <row r="268" ht="15.75" customHeight="1">
      <c r="A268" s="22"/>
      <c r="B268" s="25"/>
      <c r="C268" s="95"/>
    </row>
    <row r="269" ht="15.75" customHeight="1">
      <c r="A269" s="97" t="s">
        <v>62</v>
      </c>
      <c r="B269" s="98"/>
      <c r="C269" s="99">
        <f>SUM(C249:C267)</f>
        <v>400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H36:H43"/>
    <mergeCell ref="I50:I62"/>
    <mergeCell ref="G69:G76"/>
    <mergeCell ref="A1:J1"/>
    <mergeCell ref="A4:J4"/>
    <mergeCell ref="J8:J15"/>
    <mergeCell ref="A18:F18"/>
    <mergeCell ref="F22:F29"/>
    <mergeCell ref="A32:H32"/>
    <mergeCell ref="A46:I46"/>
    <mergeCell ref="A65:G65"/>
    <mergeCell ref="A79:E79"/>
    <mergeCell ref="C83:C90"/>
    <mergeCell ref="D83:D90"/>
    <mergeCell ref="E83:E90"/>
    <mergeCell ref="F83:F90"/>
    <mergeCell ref="A93:E93"/>
    <mergeCell ref="D97:D103"/>
    <mergeCell ref="E97:E103"/>
    <mergeCell ref="F97:F103"/>
    <mergeCell ref="A106:E106"/>
    <mergeCell ref="D110:D117"/>
    <mergeCell ref="E110:E117"/>
    <mergeCell ref="A120:F120"/>
    <mergeCell ref="F124:F130"/>
    <mergeCell ref="A133:F133"/>
    <mergeCell ref="F137:F143"/>
    <mergeCell ref="A147:G147"/>
    <mergeCell ref="F151:F158"/>
    <mergeCell ref="G151:G158"/>
    <mergeCell ref="A162:G162"/>
    <mergeCell ref="G180:G186"/>
    <mergeCell ref="H201:H205"/>
    <mergeCell ref="A208:E208"/>
    <mergeCell ref="E212:E213"/>
    <mergeCell ref="A216:F216"/>
    <mergeCell ref="F220:F225"/>
    <mergeCell ref="A228:F228"/>
    <mergeCell ref="F232:F237"/>
    <mergeCell ref="A245:C245"/>
    <mergeCell ref="A269:B269"/>
    <mergeCell ref="G166:G173"/>
    <mergeCell ref="A176:F176"/>
    <mergeCell ref="D180:D186"/>
    <mergeCell ref="E180:E186"/>
    <mergeCell ref="F180:F186"/>
    <mergeCell ref="A189:D189"/>
    <mergeCell ref="A197:H19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7.43"/>
    <col customWidth="1" min="3" max="3" width="24.86"/>
    <col customWidth="1" min="4" max="4" width="32.14"/>
    <col customWidth="1" min="5" max="5" width="28.86"/>
    <col customWidth="1" min="6" max="6" width="29.29"/>
    <col customWidth="1" min="7" max="7" width="23.43"/>
    <col customWidth="1" min="8" max="8" width="23.0"/>
    <col customWidth="1" min="9" max="9" width="14.86"/>
    <col customWidth="1" min="10" max="10" width="14.0"/>
    <col customWidth="1" min="1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4">
      <c r="A4" s="5" t="s">
        <v>1</v>
      </c>
      <c r="B4" s="2"/>
      <c r="C4" s="2"/>
      <c r="D4" s="2"/>
      <c r="E4" s="2"/>
      <c r="F4" s="2"/>
      <c r="G4" s="2"/>
      <c r="H4" s="2"/>
      <c r="I4" s="2"/>
      <c r="J4" s="3"/>
    </row>
    <row r="5">
      <c r="A5" s="7"/>
      <c r="B5" s="8"/>
      <c r="C5" s="8"/>
      <c r="D5" s="8"/>
      <c r="E5" s="8"/>
      <c r="F5" s="8"/>
      <c r="G5" s="8"/>
      <c r="H5" s="9"/>
      <c r="J5" s="10"/>
    </row>
    <row r="6" ht="64.5" customHeight="1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5" t="s">
        <v>11</v>
      </c>
    </row>
    <row r="7" ht="18.0" customHeight="1">
      <c r="A7" s="17"/>
      <c r="B7" s="18"/>
      <c r="C7" s="19"/>
      <c r="D7" s="19"/>
      <c r="E7" s="19"/>
      <c r="F7" s="19"/>
      <c r="G7" s="19"/>
      <c r="H7" s="19"/>
      <c r="I7" s="19"/>
      <c r="J7" s="100"/>
    </row>
    <row r="8">
      <c r="A8" s="22"/>
      <c r="B8" s="25"/>
      <c r="C8" s="25"/>
      <c r="D8" s="25"/>
      <c r="E8" s="25"/>
      <c r="F8" s="25"/>
      <c r="G8" s="25"/>
      <c r="H8" s="25"/>
      <c r="I8" s="101">
        <f t="shared" ref="I8:I15" si="1">SUM((E8*300)+F8*200)+(G8*50)+(H8*0)</f>
        <v>0</v>
      </c>
      <c r="J8" s="43">
        <f>SUM(I7:I15)</f>
        <v>0</v>
      </c>
    </row>
    <row r="9">
      <c r="A9" s="22"/>
      <c r="B9" s="25"/>
      <c r="C9" s="25"/>
      <c r="D9" s="25"/>
      <c r="E9" s="25"/>
      <c r="F9" s="25"/>
      <c r="G9" s="25"/>
      <c r="H9" s="25"/>
      <c r="I9" s="101">
        <f t="shared" si="1"/>
        <v>0</v>
      </c>
      <c r="J9" s="30"/>
    </row>
    <row r="10">
      <c r="A10" s="22"/>
      <c r="B10" s="25"/>
      <c r="C10" s="25"/>
      <c r="D10" s="25"/>
      <c r="E10" s="25"/>
      <c r="F10" s="25"/>
      <c r="G10" s="25"/>
      <c r="H10" s="25"/>
      <c r="I10" s="101">
        <f t="shared" si="1"/>
        <v>0</v>
      </c>
      <c r="J10" s="30"/>
    </row>
    <row r="11">
      <c r="A11" s="22"/>
      <c r="B11" s="25"/>
      <c r="C11" s="25"/>
      <c r="D11" s="25"/>
      <c r="E11" s="25"/>
      <c r="F11" s="25"/>
      <c r="G11" s="25"/>
      <c r="H11" s="25"/>
      <c r="I11" s="101">
        <f t="shared" si="1"/>
        <v>0</v>
      </c>
      <c r="J11" s="30"/>
    </row>
    <row r="12">
      <c r="A12" s="22"/>
      <c r="B12" s="25"/>
      <c r="C12" s="25"/>
      <c r="D12" s="25"/>
      <c r="E12" s="25"/>
      <c r="F12" s="25"/>
      <c r="G12" s="25"/>
      <c r="H12" s="25"/>
      <c r="I12" s="101">
        <f t="shared" si="1"/>
        <v>0</v>
      </c>
      <c r="J12" s="30"/>
    </row>
    <row r="13">
      <c r="A13" s="22"/>
      <c r="B13" s="25"/>
      <c r="C13" s="25"/>
      <c r="D13" s="25"/>
      <c r="E13" s="25"/>
      <c r="F13" s="25"/>
      <c r="G13" s="25"/>
      <c r="H13" s="25"/>
      <c r="I13" s="101">
        <f t="shared" si="1"/>
        <v>0</v>
      </c>
      <c r="J13" s="30"/>
    </row>
    <row r="14">
      <c r="A14" s="22"/>
      <c r="B14" s="25"/>
      <c r="C14" s="25"/>
      <c r="D14" s="25"/>
      <c r="E14" s="25"/>
      <c r="F14" s="25"/>
      <c r="G14" s="25"/>
      <c r="H14" s="25"/>
      <c r="I14" s="101">
        <f t="shared" si="1"/>
        <v>0</v>
      </c>
      <c r="J14" s="30"/>
    </row>
    <row r="15">
      <c r="A15" s="32"/>
      <c r="B15" s="33"/>
      <c r="C15" s="33"/>
      <c r="D15" s="33"/>
      <c r="E15" s="33"/>
      <c r="F15" s="33"/>
      <c r="G15" s="33"/>
      <c r="H15" s="33"/>
      <c r="I15" s="102">
        <f t="shared" si="1"/>
        <v>0</v>
      </c>
      <c r="J15" s="35"/>
    </row>
    <row r="18">
      <c r="A18" s="5" t="s">
        <v>18</v>
      </c>
      <c r="B18" s="2"/>
      <c r="C18" s="2"/>
      <c r="D18" s="2"/>
      <c r="E18" s="2"/>
      <c r="F18" s="3"/>
    </row>
    <row r="19">
      <c r="A19" s="7"/>
      <c r="B19" s="8"/>
      <c r="C19" s="8"/>
      <c r="D19" s="8"/>
      <c r="E19" s="8"/>
      <c r="F19" s="37"/>
    </row>
    <row r="20">
      <c r="A20" s="11" t="s">
        <v>2</v>
      </c>
      <c r="B20" s="12" t="s">
        <v>3</v>
      </c>
      <c r="C20" s="13" t="s">
        <v>19</v>
      </c>
      <c r="D20" s="13" t="s">
        <v>20</v>
      </c>
      <c r="E20" s="13" t="s">
        <v>10</v>
      </c>
      <c r="F20" s="15" t="s">
        <v>11</v>
      </c>
    </row>
    <row r="21" ht="15.75" customHeight="1">
      <c r="A21" s="38"/>
      <c r="B21" s="39"/>
      <c r="C21" s="40"/>
      <c r="D21" s="40"/>
      <c r="E21" s="40"/>
      <c r="F21" s="41"/>
    </row>
    <row r="22" ht="15.75" customHeight="1">
      <c r="A22" s="22"/>
      <c r="B22" s="25"/>
      <c r="C22" s="25"/>
      <c r="D22" s="25"/>
      <c r="E22" s="25">
        <f t="shared" ref="E22:E29" si="2">(D22*500)</f>
        <v>0</v>
      </c>
      <c r="F22" s="43">
        <f>SUM(E22:E29)</f>
        <v>0</v>
      </c>
    </row>
    <row r="23" ht="15.75" customHeight="1">
      <c r="A23" s="22"/>
      <c r="B23" s="25"/>
      <c r="C23" s="25"/>
      <c r="D23" s="25"/>
      <c r="E23" s="25">
        <f t="shared" si="2"/>
        <v>0</v>
      </c>
      <c r="F23" s="30"/>
    </row>
    <row r="24" ht="15.75" customHeight="1">
      <c r="A24" s="22"/>
      <c r="B24" s="25"/>
      <c r="C24" s="25"/>
      <c r="D24" s="25"/>
      <c r="E24" s="25">
        <f t="shared" si="2"/>
        <v>0</v>
      </c>
      <c r="F24" s="30"/>
    </row>
    <row r="25" ht="15.75" customHeight="1">
      <c r="A25" s="22"/>
      <c r="B25" s="25"/>
      <c r="C25" s="25"/>
      <c r="D25" s="25"/>
      <c r="E25" s="25">
        <f t="shared" si="2"/>
        <v>0</v>
      </c>
      <c r="F25" s="30"/>
    </row>
    <row r="26" ht="15.75" customHeight="1">
      <c r="A26" s="22"/>
      <c r="B26" s="25"/>
      <c r="C26" s="25"/>
      <c r="D26" s="25"/>
      <c r="E26" s="25">
        <f t="shared" si="2"/>
        <v>0</v>
      </c>
      <c r="F26" s="30"/>
    </row>
    <row r="27" ht="15.75" customHeight="1">
      <c r="A27" s="22"/>
      <c r="B27" s="25"/>
      <c r="C27" s="25"/>
      <c r="D27" s="25"/>
      <c r="E27" s="25">
        <f t="shared" si="2"/>
        <v>0</v>
      </c>
      <c r="F27" s="30"/>
    </row>
    <row r="28" ht="15.75" customHeight="1">
      <c r="A28" s="22"/>
      <c r="B28" s="25"/>
      <c r="C28" s="25"/>
      <c r="D28" s="25"/>
      <c r="E28" s="25">
        <f t="shared" si="2"/>
        <v>0</v>
      </c>
      <c r="F28" s="30"/>
    </row>
    <row r="29" ht="15.75" customHeight="1">
      <c r="A29" s="32"/>
      <c r="B29" s="33"/>
      <c r="C29" s="33"/>
      <c r="D29" s="33"/>
      <c r="E29" s="33">
        <f t="shared" si="2"/>
        <v>0</v>
      </c>
      <c r="F29" s="35"/>
    </row>
    <row r="30" ht="15.75" customHeight="1"/>
    <row r="31" ht="15.75" customHeight="1"/>
    <row r="32" ht="15.75" customHeight="1">
      <c r="A32" s="5" t="s">
        <v>64</v>
      </c>
      <c r="B32" s="2"/>
      <c r="C32" s="2"/>
      <c r="D32" s="2"/>
      <c r="E32" s="2"/>
      <c r="F32" s="2"/>
      <c r="G32" s="2"/>
      <c r="H32" s="3"/>
    </row>
    <row r="33" ht="15.75" customHeight="1">
      <c r="A33" s="7"/>
      <c r="B33" s="8"/>
      <c r="C33" s="8"/>
      <c r="D33" s="8"/>
      <c r="E33" s="8"/>
      <c r="F33" s="8"/>
      <c r="G33" s="8"/>
      <c r="H33" s="37"/>
    </row>
    <row r="34" ht="15.75" customHeight="1">
      <c r="A34" s="46" t="s">
        <v>2</v>
      </c>
      <c r="B34" s="47" t="s">
        <v>3</v>
      </c>
      <c r="C34" s="48" t="s">
        <v>34</v>
      </c>
      <c r="D34" s="48" t="s">
        <v>65</v>
      </c>
      <c r="E34" s="48" t="s">
        <v>66</v>
      </c>
      <c r="F34" s="48" t="s">
        <v>107</v>
      </c>
      <c r="G34" s="48" t="s">
        <v>10</v>
      </c>
      <c r="H34" s="94" t="s">
        <v>11</v>
      </c>
    </row>
    <row r="35" ht="15.75" customHeight="1">
      <c r="A35" s="16"/>
      <c r="B35" s="50"/>
      <c r="C35" s="16"/>
      <c r="D35" s="16"/>
      <c r="E35" s="16"/>
      <c r="F35" s="16"/>
      <c r="G35" s="16"/>
      <c r="H35" s="41"/>
    </row>
    <row r="36" ht="15.75" customHeight="1">
      <c r="A36" s="22"/>
      <c r="B36" s="25"/>
      <c r="C36" s="25"/>
      <c r="D36" s="25"/>
      <c r="E36" s="25"/>
      <c r="F36" s="25"/>
      <c r="G36" s="25">
        <f t="shared" ref="G36:G43" si="3">SUM((D36*50)+(E36*100)+(F36*150))</f>
        <v>0</v>
      </c>
      <c r="H36" s="43">
        <f>SUM(G36:G43)</f>
        <v>0</v>
      </c>
    </row>
    <row r="37" ht="15.75" customHeight="1">
      <c r="A37" s="22"/>
      <c r="B37" s="29"/>
      <c r="C37" s="25"/>
      <c r="D37" s="25"/>
      <c r="E37" s="25"/>
      <c r="F37" s="25"/>
      <c r="G37" s="25">
        <f t="shared" si="3"/>
        <v>0</v>
      </c>
      <c r="H37" s="30"/>
    </row>
    <row r="38" ht="15.75" customHeight="1">
      <c r="A38" s="22"/>
      <c r="B38" s="29"/>
      <c r="C38" s="25"/>
      <c r="D38" s="25"/>
      <c r="E38" s="25"/>
      <c r="F38" s="25"/>
      <c r="G38" s="25">
        <f t="shared" si="3"/>
        <v>0</v>
      </c>
      <c r="H38" s="30"/>
    </row>
    <row r="39" ht="15.75" customHeight="1">
      <c r="A39" s="22"/>
      <c r="B39" s="29"/>
      <c r="C39" s="25"/>
      <c r="D39" s="25"/>
      <c r="E39" s="25"/>
      <c r="F39" s="25"/>
      <c r="G39" s="25">
        <f t="shared" si="3"/>
        <v>0</v>
      </c>
      <c r="H39" s="30"/>
    </row>
    <row r="40" ht="15.75" customHeight="1">
      <c r="A40" s="22"/>
      <c r="B40" s="29"/>
      <c r="C40" s="25"/>
      <c r="D40" s="25"/>
      <c r="E40" s="25"/>
      <c r="F40" s="25"/>
      <c r="G40" s="25">
        <f t="shared" si="3"/>
        <v>0</v>
      </c>
      <c r="H40" s="30"/>
    </row>
    <row r="41" ht="15.75" customHeight="1">
      <c r="A41" s="22"/>
      <c r="B41" s="29"/>
      <c r="C41" s="25"/>
      <c r="D41" s="25"/>
      <c r="E41" s="25"/>
      <c r="F41" s="25"/>
      <c r="G41" s="25">
        <f t="shared" si="3"/>
        <v>0</v>
      </c>
      <c r="H41" s="30"/>
    </row>
    <row r="42" ht="15.75" customHeight="1">
      <c r="A42" s="22"/>
      <c r="B42" s="29"/>
      <c r="C42" s="25"/>
      <c r="D42" s="25"/>
      <c r="E42" s="25"/>
      <c r="F42" s="25"/>
      <c r="G42" s="25">
        <f t="shared" si="3"/>
        <v>0</v>
      </c>
      <c r="H42" s="30"/>
    </row>
    <row r="43" ht="15.75" customHeight="1">
      <c r="A43" s="32"/>
      <c r="B43" s="62"/>
      <c r="C43" s="33"/>
      <c r="D43" s="33"/>
      <c r="E43" s="33"/>
      <c r="F43" s="33"/>
      <c r="G43" s="33">
        <f t="shared" si="3"/>
        <v>0</v>
      </c>
      <c r="H43" s="35"/>
    </row>
    <row r="44" ht="15.75" customHeight="1"/>
    <row r="45" ht="15.75" customHeight="1"/>
    <row r="46" ht="15.75" customHeight="1">
      <c r="A46" s="44" t="s">
        <v>68</v>
      </c>
      <c r="B46" s="2"/>
      <c r="C46" s="2"/>
      <c r="D46" s="2"/>
      <c r="E46" s="2"/>
      <c r="F46" s="2"/>
      <c r="G46" s="2"/>
      <c r="H46" s="2"/>
      <c r="I46" s="3"/>
    </row>
    <row r="47" ht="15.75" customHeight="1">
      <c r="A47" s="45"/>
      <c r="H47" s="125"/>
      <c r="I47" s="10"/>
    </row>
    <row r="48" ht="15.75" customHeight="1">
      <c r="A48" s="46" t="s">
        <v>2</v>
      </c>
      <c r="B48" s="47" t="s">
        <v>3</v>
      </c>
      <c r="C48" s="48" t="s">
        <v>34</v>
      </c>
      <c r="D48" s="48" t="s">
        <v>65</v>
      </c>
      <c r="E48" s="48" t="s">
        <v>69</v>
      </c>
      <c r="F48" s="48" t="s">
        <v>70</v>
      </c>
      <c r="G48" s="48" t="s">
        <v>71</v>
      </c>
      <c r="H48" s="103" t="s">
        <v>10</v>
      </c>
      <c r="I48" s="94" t="s">
        <v>11</v>
      </c>
    </row>
    <row r="49" ht="15.75" customHeight="1">
      <c r="A49" s="51"/>
      <c r="B49" s="52"/>
      <c r="C49" s="52"/>
      <c r="D49" s="52"/>
      <c r="E49" s="52"/>
      <c r="F49" s="52"/>
      <c r="G49" s="52"/>
      <c r="H49" s="52"/>
      <c r="I49" s="126"/>
    </row>
    <row r="50" ht="15.75" customHeight="1">
      <c r="A50" s="104"/>
      <c r="B50" s="105"/>
      <c r="C50" s="96"/>
      <c r="D50" s="96"/>
      <c r="E50" s="96"/>
      <c r="F50" s="96"/>
      <c r="G50" s="25"/>
      <c r="H50" s="26">
        <f t="shared" ref="H50:H62" si="4">((D50*50)+(E50*150)+(F50*200)+(G50*300))</f>
        <v>0</v>
      </c>
      <c r="I50" s="43">
        <f>SUM(H50:H62)</f>
        <v>0</v>
      </c>
    </row>
    <row r="51" ht="15.75" customHeight="1">
      <c r="A51" s="104"/>
      <c r="B51" s="105"/>
      <c r="C51" s="96"/>
      <c r="D51" s="96"/>
      <c r="E51" s="96"/>
      <c r="F51" s="96"/>
      <c r="G51" s="25"/>
      <c r="H51" s="26">
        <f t="shared" si="4"/>
        <v>0</v>
      </c>
      <c r="I51" s="30"/>
    </row>
    <row r="52" ht="15.75" customHeight="1">
      <c r="A52" s="104"/>
      <c r="B52" s="105"/>
      <c r="C52" s="96"/>
      <c r="D52" s="96"/>
      <c r="E52" s="96"/>
      <c r="F52" s="96"/>
      <c r="G52" s="25"/>
      <c r="H52" s="26">
        <f t="shared" si="4"/>
        <v>0</v>
      </c>
      <c r="I52" s="30"/>
    </row>
    <row r="53" ht="15.75" customHeight="1">
      <c r="A53" s="104"/>
      <c r="B53" s="105"/>
      <c r="C53" s="96"/>
      <c r="D53" s="96"/>
      <c r="E53" s="96"/>
      <c r="F53" s="96"/>
      <c r="G53" s="25"/>
      <c r="H53" s="26">
        <f t="shared" si="4"/>
        <v>0</v>
      </c>
      <c r="I53" s="30"/>
    </row>
    <row r="54" ht="15.75" customHeight="1">
      <c r="A54" s="104"/>
      <c r="B54" s="105"/>
      <c r="C54" s="96"/>
      <c r="D54" s="96"/>
      <c r="E54" s="96"/>
      <c r="F54" s="96"/>
      <c r="G54" s="25"/>
      <c r="H54" s="26">
        <f t="shared" si="4"/>
        <v>0</v>
      </c>
      <c r="I54" s="30"/>
    </row>
    <row r="55" ht="15.75" customHeight="1">
      <c r="A55" s="104"/>
      <c r="B55" s="105"/>
      <c r="C55" s="96"/>
      <c r="D55" s="96"/>
      <c r="E55" s="96"/>
      <c r="F55" s="96"/>
      <c r="G55" s="25"/>
      <c r="H55" s="26">
        <f t="shared" si="4"/>
        <v>0</v>
      </c>
      <c r="I55" s="30"/>
    </row>
    <row r="56" ht="15.75" customHeight="1">
      <c r="A56" s="104"/>
      <c r="B56" s="105"/>
      <c r="C56" s="96"/>
      <c r="D56" s="96"/>
      <c r="E56" s="96"/>
      <c r="F56" s="96"/>
      <c r="G56" s="25"/>
      <c r="H56" s="26">
        <f t="shared" si="4"/>
        <v>0</v>
      </c>
      <c r="I56" s="30"/>
    </row>
    <row r="57" ht="15.75" customHeight="1">
      <c r="A57" s="104"/>
      <c r="B57" s="105"/>
      <c r="C57" s="96"/>
      <c r="D57" s="96"/>
      <c r="E57" s="96"/>
      <c r="F57" s="96"/>
      <c r="G57" s="25"/>
      <c r="H57" s="26">
        <f t="shared" si="4"/>
        <v>0</v>
      </c>
      <c r="I57" s="30"/>
    </row>
    <row r="58" ht="15.75" customHeight="1">
      <c r="A58" s="104"/>
      <c r="B58" s="105"/>
      <c r="C58" s="96"/>
      <c r="D58" s="96"/>
      <c r="E58" s="96"/>
      <c r="F58" s="96"/>
      <c r="G58" s="25"/>
      <c r="H58" s="26">
        <f t="shared" si="4"/>
        <v>0</v>
      </c>
      <c r="I58" s="30"/>
    </row>
    <row r="59" ht="15.75" customHeight="1">
      <c r="A59" s="104"/>
      <c r="B59" s="105"/>
      <c r="C59" s="96"/>
      <c r="D59" s="96"/>
      <c r="E59" s="96"/>
      <c r="F59" s="96"/>
      <c r="G59" s="25"/>
      <c r="H59" s="26">
        <f t="shared" si="4"/>
        <v>0</v>
      </c>
      <c r="I59" s="30"/>
    </row>
    <row r="60" ht="15.75" customHeight="1">
      <c r="A60" s="104"/>
      <c r="B60" s="105"/>
      <c r="C60" s="96"/>
      <c r="D60" s="96"/>
      <c r="E60" s="96"/>
      <c r="F60" s="96"/>
      <c r="G60" s="25"/>
      <c r="H60" s="26">
        <f t="shared" si="4"/>
        <v>0</v>
      </c>
      <c r="I60" s="30"/>
    </row>
    <row r="61" ht="15.75" customHeight="1">
      <c r="A61" s="104"/>
      <c r="B61" s="105"/>
      <c r="C61" s="96"/>
      <c r="D61" s="96"/>
      <c r="E61" s="96"/>
      <c r="F61" s="96"/>
      <c r="G61" s="25"/>
      <c r="H61" s="26">
        <f t="shared" si="4"/>
        <v>0</v>
      </c>
      <c r="I61" s="30"/>
    </row>
    <row r="62" ht="15.75" customHeight="1">
      <c r="A62" s="106"/>
      <c r="B62" s="107"/>
      <c r="C62" s="102"/>
      <c r="D62" s="33"/>
      <c r="E62" s="33"/>
      <c r="F62" s="33"/>
      <c r="G62" s="33"/>
      <c r="H62" s="34">
        <f t="shared" si="4"/>
        <v>0</v>
      </c>
      <c r="I62" s="35"/>
    </row>
    <row r="63" ht="15.75" customHeight="1"/>
    <row r="64" ht="15.75" customHeight="1"/>
    <row r="65" ht="15.75" customHeight="1">
      <c r="A65" s="5" t="s">
        <v>72</v>
      </c>
      <c r="B65" s="2"/>
      <c r="C65" s="2"/>
      <c r="D65" s="2"/>
      <c r="E65" s="2"/>
      <c r="F65" s="2"/>
      <c r="G65" s="3"/>
    </row>
    <row r="66" ht="15.75" customHeight="1">
      <c r="A66" s="7"/>
      <c r="B66" s="8"/>
      <c r="C66" s="8"/>
      <c r="D66" s="8"/>
      <c r="E66" s="8"/>
      <c r="F66" s="108"/>
      <c r="G66" s="109"/>
    </row>
    <row r="67" ht="15.75" customHeight="1">
      <c r="A67" s="11" t="s">
        <v>2</v>
      </c>
      <c r="B67" s="12" t="s">
        <v>3</v>
      </c>
      <c r="C67" s="13" t="s">
        <v>45</v>
      </c>
      <c r="D67" s="13" t="s">
        <v>108</v>
      </c>
      <c r="E67" s="13" t="s">
        <v>74</v>
      </c>
      <c r="F67" s="13" t="s">
        <v>10</v>
      </c>
      <c r="G67" s="15" t="s">
        <v>11</v>
      </c>
    </row>
    <row r="68" ht="15.75" customHeight="1">
      <c r="A68" s="11"/>
      <c r="B68" s="12"/>
      <c r="C68" s="13"/>
      <c r="D68" s="13"/>
      <c r="E68" s="13"/>
      <c r="F68" s="13"/>
      <c r="G68" s="15"/>
    </row>
    <row r="69" ht="15.75" customHeight="1">
      <c r="A69" s="22"/>
      <c r="B69" s="25"/>
      <c r="C69" s="25"/>
      <c r="D69" s="25"/>
      <c r="E69" s="25"/>
      <c r="F69" s="25">
        <f t="shared" ref="F69:F76" si="5">(D69*200)</f>
        <v>0</v>
      </c>
      <c r="G69" s="43">
        <f>SUM(F69:F76)</f>
        <v>0</v>
      </c>
    </row>
    <row r="70" ht="15.75" customHeight="1">
      <c r="A70" s="22"/>
      <c r="B70" s="25"/>
      <c r="C70" s="25"/>
      <c r="D70" s="25"/>
      <c r="E70" s="25"/>
      <c r="F70" s="25">
        <f t="shared" si="5"/>
        <v>0</v>
      </c>
      <c r="G70" s="30"/>
    </row>
    <row r="71" ht="15.75" customHeight="1">
      <c r="A71" s="22"/>
      <c r="B71" s="25"/>
      <c r="C71" s="25"/>
      <c r="D71" s="25"/>
      <c r="E71" s="25"/>
      <c r="F71" s="25">
        <f t="shared" si="5"/>
        <v>0</v>
      </c>
      <c r="G71" s="30"/>
    </row>
    <row r="72" ht="15.75" customHeight="1">
      <c r="A72" s="22"/>
      <c r="B72" s="25"/>
      <c r="C72" s="25"/>
      <c r="D72" s="25"/>
      <c r="E72" s="25"/>
      <c r="F72" s="25">
        <f t="shared" si="5"/>
        <v>0</v>
      </c>
      <c r="G72" s="30"/>
    </row>
    <row r="73" ht="15.75" customHeight="1">
      <c r="A73" s="22"/>
      <c r="B73" s="25"/>
      <c r="C73" s="25"/>
      <c r="D73" s="25"/>
      <c r="E73" s="25"/>
      <c r="F73" s="25">
        <f t="shared" si="5"/>
        <v>0</v>
      </c>
      <c r="G73" s="30"/>
    </row>
    <row r="74" ht="15.75" customHeight="1">
      <c r="A74" s="22"/>
      <c r="B74" s="25"/>
      <c r="C74" s="25"/>
      <c r="D74" s="25"/>
      <c r="E74" s="25"/>
      <c r="F74" s="25">
        <f t="shared" si="5"/>
        <v>0</v>
      </c>
      <c r="G74" s="30"/>
    </row>
    <row r="75" ht="15.75" customHeight="1">
      <c r="A75" s="22"/>
      <c r="B75" s="25"/>
      <c r="C75" s="25"/>
      <c r="D75" s="25"/>
      <c r="E75" s="25"/>
      <c r="F75" s="25">
        <f t="shared" si="5"/>
        <v>0</v>
      </c>
      <c r="G75" s="30"/>
    </row>
    <row r="76" ht="15.75" customHeight="1">
      <c r="A76" s="32"/>
      <c r="B76" s="33"/>
      <c r="C76" s="33"/>
      <c r="D76" s="33"/>
      <c r="E76" s="33"/>
      <c r="F76" s="33">
        <f t="shared" si="5"/>
        <v>0</v>
      </c>
      <c r="G76" s="35"/>
    </row>
    <row r="77" ht="15.75" customHeight="1"/>
    <row r="78" ht="15.75" customHeight="1"/>
    <row r="79" ht="15.75" customHeight="1">
      <c r="A79" s="5" t="s">
        <v>75</v>
      </c>
      <c r="B79" s="2"/>
      <c r="C79" s="2"/>
      <c r="D79" s="2"/>
      <c r="E79" s="3"/>
    </row>
    <row r="80" ht="15.75" customHeight="1">
      <c r="A80" s="7"/>
      <c r="B80" s="8"/>
      <c r="C80" s="8"/>
      <c r="D80" s="8"/>
      <c r="E80" s="37"/>
    </row>
    <row r="81" ht="15.75" customHeight="1">
      <c r="A81" s="11" t="s">
        <v>2</v>
      </c>
      <c r="B81" s="12" t="s">
        <v>76</v>
      </c>
      <c r="C81" s="13" t="s">
        <v>109</v>
      </c>
      <c r="D81" s="13" t="s">
        <v>78</v>
      </c>
      <c r="E81" s="15" t="s">
        <v>10</v>
      </c>
      <c r="F81" s="16"/>
    </row>
    <row r="82" ht="15.75" customHeight="1">
      <c r="A82" s="38"/>
      <c r="B82" s="39"/>
      <c r="C82" s="40"/>
      <c r="D82" s="40"/>
      <c r="E82" s="41"/>
      <c r="F82" s="16"/>
    </row>
    <row r="83" ht="15.75" customHeight="1">
      <c r="A83" s="22"/>
      <c r="B83" s="25"/>
      <c r="C83" s="55"/>
      <c r="D83" s="55"/>
      <c r="E83" s="43">
        <f>IF(D83=1,C83*50*2,C83*50)</f>
        <v>0</v>
      </c>
      <c r="F83" s="28"/>
    </row>
    <row r="84" ht="15.75" customHeight="1">
      <c r="A84" s="22"/>
      <c r="B84" s="25"/>
      <c r="C84" s="57"/>
      <c r="D84" s="57"/>
      <c r="E84" s="30"/>
    </row>
    <row r="85" ht="15.75" customHeight="1">
      <c r="A85" s="22"/>
      <c r="B85" s="25"/>
      <c r="C85" s="57"/>
      <c r="D85" s="57"/>
      <c r="E85" s="30"/>
    </row>
    <row r="86" ht="15.75" customHeight="1">
      <c r="A86" s="22"/>
      <c r="B86" s="25"/>
      <c r="C86" s="57"/>
      <c r="D86" s="57"/>
      <c r="E86" s="30"/>
    </row>
    <row r="87" ht="15.75" customHeight="1">
      <c r="A87" s="22"/>
      <c r="B87" s="25"/>
      <c r="C87" s="57"/>
      <c r="D87" s="57"/>
      <c r="E87" s="30"/>
    </row>
    <row r="88" ht="15.75" customHeight="1">
      <c r="A88" s="22"/>
      <c r="B88" s="25"/>
      <c r="C88" s="57"/>
      <c r="D88" s="57"/>
      <c r="E88" s="30"/>
    </row>
    <row r="89" ht="15.75" customHeight="1">
      <c r="A89" s="22"/>
      <c r="B89" s="25"/>
      <c r="C89" s="57"/>
      <c r="D89" s="57"/>
      <c r="E89" s="30"/>
    </row>
    <row r="90" ht="15.75" customHeight="1">
      <c r="A90" s="32"/>
      <c r="B90" s="33"/>
      <c r="C90" s="63"/>
      <c r="D90" s="63"/>
      <c r="E90" s="35"/>
    </row>
    <row r="91" ht="15.75" customHeight="1"/>
    <row r="92" ht="15.75" customHeight="1"/>
    <row r="93" ht="15.75" customHeight="1">
      <c r="A93" s="44" t="s">
        <v>21</v>
      </c>
      <c r="B93" s="2"/>
      <c r="C93" s="2"/>
      <c r="D93" s="2"/>
      <c r="E93" s="3"/>
    </row>
    <row r="94" ht="15.75" customHeight="1">
      <c r="A94" s="45"/>
      <c r="E94" s="10"/>
    </row>
    <row r="95" ht="15.75" customHeight="1">
      <c r="A95" s="46" t="s">
        <v>2</v>
      </c>
      <c r="B95" s="47" t="s">
        <v>3</v>
      </c>
      <c r="C95" s="48" t="s">
        <v>22</v>
      </c>
      <c r="D95" s="48" t="s">
        <v>23</v>
      </c>
      <c r="E95" s="49" t="s">
        <v>11</v>
      </c>
      <c r="F95" s="50"/>
    </row>
    <row r="96" ht="15.75" customHeight="1">
      <c r="A96" s="51"/>
      <c r="B96" s="52"/>
      <c r="C96" s="52"/>
      <c r="D96" s="52"/>
      <c r="E96" s="53"/>
    </row>
    <row r="97" ht="18.75" customHeight="1">
      <c r="A97" s="22"/>
      <c r="B97" s="29"/>
      <c r="C97" s="25"/>
      <c r="D97" s="55"/>
      <c r="E97" s="56">
        <f>IF(D97=0,300,D97*-200)</f>
        <v>300</v>
      </c>
      <c r="F97" s="28"/>
    </row>
    <row r="98" ht="15.75" customHeight="1">
      <c r="A98" s="22"/>
      <c r="B98" s="29"/>
      <c r="C98" s="25"/>
      <c r="D98" s="57"/>
      <c r="E98" s="30"/>
    </row>
    <row r="99" ht="15.75" customHeight="1">
      <c r="A99" s="22"/>
      <c r="B99" s="29"/>
      <c r="C99" s="25"/>
      <c r="D99" s="57"/>
      <c r="E99" s="30"/>
    </row>
    <row r="100" ht="15.75" customHeight="1">
      <c r="A100" s="59"/>
      <c r="B100" s="61"/>
      <c r="C100" s="55"/>
      <c r="D100" s="57"/>
      <c r="E100" s="30"/>
    </row>
    <row r="101" ht="15.75" customHeight="1">
      <c r="A101" s="59"/>
      <c r="B101" s="61"/>
      <c r="C101" s="55"/>
      <c r="D101" s="57"/>
      <c r="E101" s="30"/>
    </row>
    <row r="102" ht="15.75" customHeight="1">
      <c r="A102" s="59"/>
      <c r="B102" s="61"/>
      <c r="C102" s="55"/>
      <c r="D102" s="57"/>
      <c r="E102" s="30"/>
    </row>
    <row r="103" ht="15.75" customHeight="1">
      <c r="A103" s="32"/>
      <c r="B103" s="62"/>
      <c r="C103" s="33"/>
      <c r="D103" s="63"/>
      <c r="E103" s="35"/>
    </row>
    <row r="104" ht="15.75" customHeight="1"/>
    <row r="105" ht="15.75" customHeight="1"/>
    <row r="106" ht="15.75" customHeight="1">
      <c r="A106" s="44" t="s">
        <v>29</v>
      </c>
      <c r="B106" s="2"/>
      <c r="C106" s="2"/>
      <c r="D106" s="2"/>
      <c r="E106" s="3"/>
    </row>
    <row r="107" ht="18.0" customHeight="1">
      <c r="A107" s="45"/>
      <c r="E107" s="64"/>
    </row>
    <row r="108" ht="15.75" customHeight="1">
      <c r="A108" s="46" t="s">
        <v>2</v>
      </c>
      <c r="B108" s="47" t="s">
        <v>3</v>
      </c>
      <c r="C108" s="48" t="s">
        <v>30</v>
      </c>
      <c r="D108" s="48" t="s">
        <v>31</v>
      </c>
      <c r="E108" s="49" t="s">
        <v>10</v>
      </c>
      <c r="F108" s="50"/>
    </row>
    <row r="109" ht="15.75" customHeight="1">
      <c r="A109" s="51"/>
      <c r="B109" s="52"/>
      <c r="C109" s="52"/>
      <c r="D109" s="52"/>
      <c r="E109" s="53"/>
    </row>
    <row r="110" ht="15.75" customHeight="1">
      <c r="A110" s="22"/>
      <c r="B110" s="29"/>
      <c r="C110" s="25"/>
      <c r="D110" s="55"/>
      <c r="E110" s="43">
        <f>IF(D110=0,100,D110*-20)</f>
        <v>100</v>
      </c>
    </row>
    <row r="111" ht="15.75" customHeight="1">
      <c r="A111" s="22"/>
      <c r="B111" s="29"/>
      <c r="C111" s="25"/>
      <c r="D111" s="57"/>
      <c r="E111" s="30"/>
    </row>
    <row r="112" ht="15.75" customHeight="1">
      <c r="A112" s="22"/>
      <c r="B112" s="29"/>
      <c r="C112" s="28"/>
      <c r="D112" s="57"/>
      <c r="E112" s="30"/>
    </row>
    <row r="113" ht="15.75" customHeight="1">
      <c r="A113" s="22"/>
      <c r="B113" s="29"/>
      <c r="C113" s="25"/>
      <c r="D113" s="57"/>
      <c r="E113" s="30"/>
    </row>
    <row r="114" ht="15.75" customHeight="1">
      <c r="A114" s="22"/>
      <c r="B114" s="29"/>
      <c r="C114" s="25"/>
      <c r="D114" s="57"/>
      <c r="E114" s="30"/>
    </row>
    <row r="115" ht="15.75" customHeight="1">
      <c r="A115" s="22"/>
      <c r="B115" s="29"/>
      <c r="C115" s="25"/>
      <c r="D115" s="57"/>
      <c r="E115" s="30"/>
    </row>
    <row r="116" ht="15.75" customHeight="1">
      <c r="A116" s="22"/>
      <c r="B116" s="29"/>
      <c r="C116" s="25"/>
      <c r="D116" s="57"/>
      <c r="E116" s="30"/>
    </row>
    <row r="117" ht="15.75" customHeight="1">
      <c r="A117" s="32"/>
      <c r="B117" s="62"/>
      <c r="C117" s="33"/>
      <c r="D117" s="63"/>
      <c r="E117" s="35"/>
    </row>
    <row r="118" ht="15.75" customHeight="1"/>
    <row r="119" ht="15.75" customHeight="1"/>
    <row r="120" ht="15.75" customHeight="1">
      <c r="A120" s="5" t="s">
        <v>33</v>
      </c>
      <c r="B120" s="2"/>
      <c r="C120" s="2"/>
      <c r="D120" s="2"/>
      <c r="E120" s="2"/>
      <c r="F120" s="3"/>
    </row>
    <row r="121" ht="20.25" customHeight="1">
      <c r="A121" s="66"/>
      <c r="B121" s="67"/>
      <c r="C121" s="67"/>
      <c r="D121" s="67"/>
      <c r="E121" s="67"/>
      <c r="F121" s="10"/>
    </row>
    <row r="122" ht="15.75" customHeight="1">
      <c r="A122" s="46" t="s">
        <v>2</v>
      </c>
      <c r="B122" s="47" t="s">
        <v>3</v>
      </c>
      <c r="C122" s="48" t="s">
        <v>34</v>
      </c>
      <c r="D122" s="48" t="s">
        <v>35</v>
      </c>
      <c r="E122" s="47" t="s">
        <v>10</v>
      </c>
      <c r="F122" s="49" t="s">
        <v>11</v>
      </c>
    </row>
    <row r="123" ht="15.75" customHeight="1">
      <c r="A123" s="68"/>
      <c r="B123" s="28"/>
      <c r="C123" s="28"/>
      <c r="D123" s="28"/>
      <c r="E123" s="69"/>
      <c r="F123" s="70"/>
    </row>
    <row r="124" ht="15.75" customHeight="1">
      <c r="A124" s="22"/>
      <c r="B124" s="29"/>
      <c r="C124" s="29"/>
      <c r="D124" s="25"/>
      <c r="E124" s="25">
        <f t="shared" ref="E124:E130" si="6">(D124*100)</f>
        <v>0</v>
      </c>
      <c r="F124" s="43">
        <f>SUM(E124:E130)</f>
        <v>0</v>
      </c>
    </row>
    <row r="125" ht="15.75" customHeight="1">
      <c r="A125" s="22"/>
      <c r="B125" s="29"/>
      <c r="C125" s="29"/>
      <c r="D125" s="25"/>
      <c r="E125" s="25">
        <f t="shared" si="6"/>
        <v>0</v>
      </c>
      <c r="F125" s="30"/>
    </row>
    <row r="126" ht="15.75" customHeight="1">
      <c r="A126" s="22"/>
      <c r="B126" s="29"/>
      <c r="C126" s="29"/>
      <c r="D126" s="25"/>
      <c r="E126" s="25">
        <f t="shared" si="6"/>
        <v>0</v>
      </c>
      <c r="F126" s="30"/>
    </row>
    <row r="127" ht="15.75" customHeight="1">
      <c r="A127" s="22"/>
      <c r="B127" s="29"/>
      <c r="C127" s="29"/>
      <c r="D127" s="25"/>
      <c r="E127" s="25">
        <f t="shared" si="6"/>
        <v>0</v>
      </c>
      <c r="F127" s="30"/>
    </row>
    <row r="128" ht="15.75" customHeight="1">
      <c r="A128" s="22"/>
      <c r="B128" s="29"/>
      <c r="C128" s="29"/>
      <c r="D128" s="25"/>
      <c r="E128" s="25">
        <f t="shared" si="6"/>
        <v>0</v>
      </c>
      <c r="F128" s="30"/>
    </row>
    <row r="129" ht="15.75" customHeight="1">
      <c r="A129" s="22"/>
      <c r="B129" s="29"/>
      <c r="C129" s="29"/>
      <c r="D129" s="25"/>
      <c r="E129" s="25">
        <f t="shared" si="6"/>
        <v>0</v>
      </c>
      <c r="F129" s="30"/>
    </row>
    <row r="130" ht="15.75" customHeight="1">
      <c r="A130" s="32"/>
      <c r="B130" s="62"/>
      <c r="C130" s="62"/>
      <c r="D130" s="33"/>
      <c r="E130" s="33">
        <f t="shared" si="6"/>
        <v>0</v>
      </c>
      <c r="F130" s="35"/>
    </row>
    <row r="131" ht="15.75" customHeight="1">
      <c r="A131" s="28"/>
      <c r="B131" s="71"/>
      <c r="C131" s="71"/>
      <c r="D131" s="28"/>
      <c r="E131" s="28"/>
      <c r="F131" s="28"/>
    </row>
    <row r="132" ht="15.75" customHeight="1"/>
    <row r="133" ht="15.75" customHeight="1">
      <c r="A133" s="5" t="s">
        <v>36</v>
      </c>
      <c r="B133" s="2"/>
      <c r="C133" s="2"/>
      <c r="D133" s="2"/>
      <c r="E133" s="2"/>
      <c r="F133" s="3"/>
    </row>
    <row r="134" ht="18.75" customHeight="1">
      <c r="A134" s="66"/>
      <c r="B134" s="67"/>
      <c r="C134" s="67"/>
      <c r="D134" s="67"/>
      <c r="E134" s="67"/>
      <c r="F134" s="72"/>
    </row>
    <row r="135" ht="15.75" customHeight="1">
      <c r="A135" s="46" t="s">
        <v>2</v>
      </c>
      <c r="B135" s="47" t="s">
        <v>3</v>
      </c>
      <c r="C135" s="48" t="s">
        <v>34</v>
      </c>
      <c r="D135" s="48" t="s">
        <v>37</v>
      </c>
      <c r="E135" s="47" t="s">
        <v>10</v>
      </c>
      <c r="F135" s="73" t="s">
        <v>11</v>
      </c>
    </row>
    <row r="136" ht="15.75" customHeight="1">
      <c r="A136" s="68"/>
      <c r="B136" s="28"/>
      <c r="C136" s="28"/>
      <c r="D136" s="28"/>
      <c r="E136" s="18"/>
      <c r="F136" s="74"/>
    </row>
    <row r="137" ht="15.75" customHeight="1">
      <c r="A137" s="22"/>
      <c r="B137" s="29"/>
      <c r="C137" s="25"/>
      <c r="D137" s="25"/>
      <c r="E137" s="75">
        <f t="shared" ref="E137:E143" si="7">(D137*100)</f>
        <v>0</v>
      </c>
      <c r="F137" s="43">
        <f>SUM(E137:E143)</f>
        <v>0</v>
      </c>
    </row>
    <row r="138" ht="15.75" customHeight="1">
      <c r="A138" s="22"/>
      <c r="B138" s="29"/>
      <c r="C138" s="25"/>
      <c r="D138" s="25"/>
      <c r="E138" s="75">
        <f t="shared" si="7"/>
        <v>0</v>
      </c>
      <c r="F138" s="30"/>
    </row>
    <row r="139" ht="15.75" customHeight="1">
      <c r="A139" s="22"/>
      <c r="B139" s="29"/>
      <c r="C139" s="25"/>
      <c r="D139" s="25"/>
      <c r="E139" s="75">
        <f t="shared" si="7"/>
        <v>0</v>
      </c>
      <c r="F139" s="30"/>
    </row>
    <row r="140" ht="15.75" customHeight="1">
      <c r="A140" s="22"/>
      <c r="B140" s="29"/>
      <c r="C140" s="25"/>
      <c r="D140" s="76"/>
      <c r="E140" s="75">
        <f t="shared" si="7"/>
        <v>0</v>
      </c>
      <c r="F140" s="30"/>
    </row>
    <row r="141" ht="15.75" customHeight="1">
      <c r="A141" s="22"/>
      <c r="B141" s="29"/>
      <c r="C141" s="25"/>
      <c r="D141" s="76"/>
      <c r="E141" s="75">
        <f t="shared" si="7"/>
        <v>0</v>
      </c>
      <c r="F141" s="30"/>
    </row>
    <row r="142" ht="15.75" customHeight="1">
      <c r="A142" s="22"/>
      <c r="B142" s="29"/>
      <c r="C142" s="26"/>
      <c r="D142" s="76"/>
      <c r="E142" s="75">
        <f t="shared" si="7"/>
        <v>0</v>
      </c>
      <c r="F142" s="30"/>
    </row>
    <row r="143" ht="15.75" customHeight="1">
      <c r="A143" s="32"/>
      <c r="B143" s="62"/>
      <c r="C143" s="34"/>
      <c r="D143" s="77"/>
      <c r="E143" s="33">
        <f t="shared" si="7"/>
        <v>0</v>
      </c>
      <c r="F143" s="35"/>
    </row>
    <row r="144" ht="15.75" customHeight="1"/>
    <row r="145" ht="15.75" customHeight="1"/>
    <row r="146" ht="15.75" customHeight="1"/>
    <row r="147" ht="15.75" customHeight="1">
      <c r="A147" s="5" t="s">
        <v>79</v>
      </c>
      <c r="B147" s="2"/>
      <c r="C147" s="2"/>
      <c r="D147" s="2"/>
      <c r="E147" s="2"/>
      <c r="F147" s="2"/>
      <c r="G147" s="3"/>
    </row>
    <row r="148" ht="15.75" customHeight="1">
      <c r="A148" s="7"/>
      <c r="B148" s="8"/>
      <c r="C148" s="8"/>
      <c r="D148" s="8"/>
      <c r="E148" s="8"/>
      <c r="F148" s="8"/>
      <c r="G148" s="37"/>
    </row>
    <row r="149" ht="15.75" customHeight="1">
      <c r="A149" s="11" t="s">
        <v>2</v>
      </c>
      <c r="B149" s="12" t="s">
        <v>3</v>
      </c>
      <c r="C149" s="13" t="s">
        <v>45</v>
      </c>
      <c r="D149" s="13" t="s">
        <v>105</v>
      </c>
      <c r="E149" s="13" t="s">
        <v>81</v>
      </c>
      <c r="F149" s="13" t="s">
        <v>10</v>
      </c>
      <c r="G149" s="15" t="s">
        <v>11</v>
      </c>
    </row>
    <row r="150" ht="15.75" customHeight="1">
      <c r="A150" s="38"/>
      <c r="B150" s="39"/>
      <c r="C150" s="40"/>
      <c r="D150" s="40"/>
      <c r="E150" s="40"/>
      <c r="F150" s="40"/>
      <c r="G150" s="41"/>
    </row>
    <row r="151" ht="15.75" customHeight="1">
      <c r="A151" s="22"/>
      <c r="B151" s="25"/>
      <c r="C151" s="25"/>
      <c r="D151" s="25"/>
      <c r="E151" s="25"/>
      <c r="F151" s="55">
        <f>SUM(E151:E158)</f>
        <v>0</v>
      </c>
      <c r="G151" s="43">
        <f>F151/10000*100</f>
        <v>0</v>
      </c>
    </row>
    <row r="152" ht="15.75" customHeight="1">
      <c r="A152" s="22"/>
      <c r="B152" s="25"/>
      <c r="C152" s="25"/>
      <c r="D152" s="25"/>
      <c r="E152" s="25"/>
      <c r="F152" s="57"/>
      <c r="G152" s="30"/>
    </row>
    <row r="153" ht="15.75" customHeight="1">
      <c r="A153" s="22"/>
      <c r="B153" s="25"/>
      <c r="C153" s="25"/>
      <c r="D153" s="25"/>
      <c r="E153" s="25"/>
      <c r="F153" s="57"/>
      <c r="G153" s="30"/>
    </row>
    <row r="154" ht="15.75" customHeight="1">
      <c r="A154" s="22"/>
      <c r="B154" s="25"/>
      <c r="C154" s="25"/>
      <c r="D154" s="25"/>
      <c r="E154" s="25"/>
      <c r="F154" s="57"/>
      <c r="G154" s="30"/>
    </row>
    <row r="155" ht="15.75" customHeight="1">
      <c r="A155" s="22"/>
      <c r="B155" s="25"/>
      <c r="C155" s="25"/>
      <c r="D155" s="25"/>
      <c r="E155" s="25"/>
      <c r="F155" s="57"/>
      <c r="G155" s="30"/>
    </row>
    <row r="156" ht="15.75" customHeight="1">
      <c r="A156" s="22"/>
      <c r="B156" s="25"/>
      <c r="C156" s="25"/>
      <c r="D156" s="25"/>
      <c r="E156" s="25"/>
      <c r="F156" s="57"/>
      <c r="G156" s="30"/>
    </row>
    <row r="157" ht="15.75" customHeight="1">
      <c r="A157" s="22"/>
      <c r="B157" s="25"/>
      <c r="C157" s="25"/>
      <c r="D157" s="25"/>
      <c r="E157" s="25"/>
      <c r="F157" s="57"/>
      <c r="G157" s="30"/>
    </row>
    <row r="158" ht="15.75" customHeight="1">
      <c r="A158" s="32"/>
      <c r="B158" s="33"/>
      <c r="C158" s="33"/>
      <c r="D158" s="33"/>
      <c r="E158" s="33"/>
      <c r="F158" s="63"/>
      <c r="G158" s="35"/>
    </row>
    <row r="159" ht="15.75" customHeight="1"/>
    <row r="160" ht="15.75" customHeight="1"/>
    <row r="161" ht="15.75" customHeight="1"/>
    <row r="162" ht="15.75" customHeight="1">
      <c r="A162" s="5" t="s">
        <v>82</v>
      </c>
      <c r="B162" s="2"/>
      <c r="C162" s="2"/>
      <c r="D162" s="2"/>
      <c r="E162" s="2"/>
      <c r="F162" s="2"/>
      <c r="G162" s="3"/>
    </row>
    <row r="163" ht="15.75" customHeight="1">
      <c r="A163" s="7"/>
      <c r="B163" s="8"/>
      <c r="C163" s="8"/>
      <c r="D163" s="8"/>
      <c r="E163" s="8"/>
      <c r="F163" s="8"/>
      <c r="G163" s="37"/>
    </row>
    <row r="164" ht="15.75" customHeight="1">
      <c r="A164" s="11" t="s">
        <v>2</v>
      </c>
      <c r="B164" s="12" t="s">
        <v>3</v>
      </c>
      <c r="C164" s="13" t="s">
        <v>83</v>
      </c>
      <c r="D164" s="13" t="s">
        <v>84</v>
      </c>
      <c r="E164" s="13" t="s">
        <v>85</v>
      </c>
      <c r="F164" s="13" t="s">
        <v>10</v>
      </c>
      <c r="G164" s="15" t="s">
        <v>11</v>
      </c>
    </row>
    <row r="165" ht="15.75" customHeight="1">
      <c r="A165" s="38"/>
      <c r="B165" s="39"/>
      <c r="C165" s="40"/>
      <c r="D165" s="19"/>
      <c r="E165" s="40"/>
      <c r="F165" s="40"/>
      <c r="G165" s="41"/>
    </row>
    <row r="166" ht="15.75" customHeight="1">
      <c r="A166" s="22"/>
      <c r="B166" s="25"/>
      <c r="C166" s="25"/>
      <c r="D166" s="25"/>
      <c r="E166" s="25"/>
      <c r="F166" s="25">
        <f t="shared" ref="F166:F173" si="8">SUM(D166*100)</f>
        <v>0</v>
      </c>
      <c r="G166" s="43">
        <f>SUM(F166:F173)</f>
        <v>0</v>
      </c>
    </row>
    <row r="167" ht="15.75" customHeight="1">
      <c r="A167" s="22"/>
      <c r="B167" s="25"/>
      <c r="C167" s="25"/>
      <c r="D167" s="25"/>
      <c r="E167" s="25"/>
      <c r="F167" s="25">
        <f t="shared" si="8"/>
        <v>0</v>
      </c>
      <c r="G167" s="30"/>
    </row>
    <row r="168" ht="15.75" customHeight="1">
      <c r="A168" s="22"/>
      <c r="B168" s="25"/>
      <c r="C168" s="25"/>
      <c r="D168" s="25"/>
      <c r="E168" s="25"/>
      <c r="F168" s="25">
        <f t="shared" si="8"/>
        <v>0</v>
      </c>
      <c r="G168" s="30"/>
    </row>
    <row r="169" ht="15.75" customHeight="1">
      <c r="A169" s="22"/>
      <c r="B169" s="25"/>
      <c r="C169" s="25"/>
      <c r="D169" s="25"/>
      <c r="E169" s="25"/>
      <c r="F169" s="25">
        <f t="shared" si="8"/>
        <v>0</v>
      </c>
      <c r="G169" s="30"/>
    </row>
    <row r="170" ht="15.75" customHeight="1">
      <c r="A170" s="22"/>
      <c r="B170" s="25"/>
      <c r="C170" s="25"/>
      <c r="D170" s="25"/>
      <c r="E170" s="25"/>
      <c r="F170" s="25">
        <f t="shared" si="8"/>
        <v>0</v>
      </c>
      <c r="G170" s="30"/>
    </row>
    <row r="171" ht="15.75" customHeight="1">
      <c r="A171" s="22"/>
      <c r="B171" s="25"/>
      <c r="C171" s="25"/>
      <c r="D171" s="25"/>
      <c r="E171" s="25"/>
      <c r="F171" s="25">
        <f t="shared" si="8"/>
        <v>0</v>
      </c>
      <c r="G171" s="30"/>
    </row>
    <row r="172" ht="15.75" customHeight="1">
      <c r="A172" s="22"/>
      <c r="B172" s="25"/>
      <c r="C172" s="25"/>
      <c r="D172" s="25"/>
      <c r="E172" s="25"/>
      <c r="F172" s="25">
        <f t="shared" si="8"/>
        <v>0</v>
      </c>
      <c r="G172" s="30"/>
    </row>
    <row r="173" ht="15.75" customHeight="1">
      <c r="A173" s="32"/>
      <c r="B173" s="33"/>
      <c r="C173" s="33"/>
      <c r="D173" s="33"/>
      <c r="E173" s="33"/>
      <c r="F173" s="33">
        <f t="shared" si="8"/>
        <v>0</v>
      </c>
      <c r="G173" s="35"/>
    </row>
    <row r="174" ht="15.75" customHeight="1"/>
    <row r="175" ht="15.75" customHeight="1"/>
    <row r="176" ht="15.75" customHeight="1">
      <c r="A176" s="5" t="s">
        <v>86</v>
      </c>
      <c r="B176" s="2"/>
      <c r="C176" s="2"/>
      <c r="D176" s="2"/>
      <c r="E176" s="2"/>
      <c r="F176" s="3"/>
    </row>
    <row r="177" ht="15.75" customHeight="1">
      <c r="A177" s="110"/>
      <c r="B177" s="111"/>
      <c r="C177" s="111"/>
      <c r="D177" s="111"/>
      <c r="E177" s="112"/>
      <c r="F177" s="113"/>
    </row>
    <row r="178" ht="15.75" customHeight="1">
      <c r="A178" s="46" t="s">
        <v>2</v>
      </c>
      <c r="B178" s="48" t="s">
        <v>87</v>
      </c>
      <c r="C178" s="48" t="s">
        <v>34</v>
      </c>
      <c r="D178" s="103" t="s">
        <v>88</v>
      </c>
      <c r="E178" s="114" t="s">
        <v>10</v>
      </c>
      <c r="F178" s="49" t="s">
        <v>11</v>
      </c>
      <c r="G178" s="50"/>
    </row>
    <row r="179" ht="15.75" customHeight="1">
      <c r="A179" s="51"/>
      <c r="B179" s="52"/>
      <c r="C179" s="52"/>
      <c r="D179" s="52"/>
      <c r="E179" s="52"/>
      <c r="F179" s="53"/>
    </row>
    <row r="180" ht="15.75" customHeight="1">
      <c r="A180" s="22"/>
      <c r="B180" s="29"/>
      <c r="C180" s="25"/>
      <c r="D180" s="55"/>
      <c r="E180" s="101">
        <f>SUM(D180*100)</f>
        <v>0</v>
      </c>
      <c r="F180" s="43">
        <f>SUM(E180:E186)</f>
        <v>0</v>
      </c>
      <c r="G180" s="115"/>
    </row>
    <row r="181" ht="15.75" customHeight="1">
      <c r="A181" s="22"/>
      <c r="B181" s="29"/>
      <c r="C181" s="25"/>
      <c r="D181" s="57"/>
      <c r="E181" s="57"/>
      <c r="F181" s="30"/>
    </row>
    <row r="182" ht="15.75" customHeight="1">
      <c r="A182" s="22"/>
      <c r="B182" s="29"/>
      <c r="C182" s="25"/>
      <c r="D182" s="57"/>
      <c r="E182" s="57"/>
      <c r="F182" s="30"/>
    </row>
    <row r="183" ht="15.75" customHeight="1">
      <c r="A183" s="22"/>
      <c r="B183" s="29"/>
      <c r="C183" s="25"/>
      <c r="D183" s="57"/>
      <c r="E183" s="57"/>
      <c r="F183" s="30"/>
    </row>
    <row r="184" ht="15.75" customHeight="1">
      <c r="A184" s="22"/>
      <c r="B184" s="29"/>
      <c r="C184" s="25"/>
      <c r="D184" s="57"/>
      <c r="E184" s="57"/>
      <c r="F184" s="30"/>
    </row>
    <row r="185" ht="15.75" customHeight="1">
      <c r="A185" s="22"/>
      <c r="B185" s="29"/>
      <c r="C185" s="25"/>
      <c r="D185" s="57"/>
      <c r="E185" s="57"/>
      <c r="F185" s="30"/>
    </row>
    <row r="186" ht="15.75" customHeight="1">
      <c r="A186" s="32"/>
      <c r="B186" s="62"/>
      <c r="C186" s="33"/>
      <c r="D186" s="63"/>
      <c r="E186" s="63"/>
      <c r="F186" s="35"/>
    </row>
    <row r="187" ht="15.75" customHeight="1"/>
    <row r="188" ht="15.75" customHeight="1"/>
    <row r="189" ht="15.75" customHeight="1">
      <c r="A189" s="5" t="s">
        <v>38</v>
      </c>
      <c r="B189" s="2"/>
      <c r="C189" s="2"/>
      <c r="D189" s="3"/>
    </row>
    <row r="190" ht="15.75" customHeight="1">
      <c r="A190" s="45"/>
      <c r="D190" s="64"/>
    </row>
    <row r="191" ht="15.75" customHeight="1">
      <c r="A191" s="78" t="s">
        <v>39</v>
      </c>
      <c r="B191" s="47" t="s">
        <v>3</v>
      </c>
      <c r="C191" s="48" t="s">
        <v>40</v>
      </c>
      <c r="D191" s="49" t="s">
        <v>10</v>
      </c>
    </row>
    <row r="192" ht="15.75" customHeight="1">
      <c r="A192" s="68"/>
      <c r="B192" s="28"/>
      <c r="C192" s="28"/>
      <c r="D192" s="70"/>
    </row>
    <row r="193" ht="15.75" customHeight="1">
      <c r="A193" s="32">
        <v>1.0</v>
      </c>
      <c r="B193" s="33"/>
      <c r="C193" s="33"/>
      <c r="D193" s="81">
        <f>C193*200</f>
        <v>0</v>
      </c>
    </row>
    <row r="194" ht="15.75" customHeight="1">
      <c r="A194" s="8"/>
      <c r="B194" s="8"/>
      <c r="C194" s="8"/>
      <c r="D194" s="8"/>
    </row>
    <row r="195" ht="15.75" customHeight="1"/>
    <row r="196" ht="15.75" customHeight="1"/>
    <row r="197" ht="15.75" customHeight="1">
      <c r="A197" s="44" t="s">
        <v>89</v>
      </c>
      <c r="B197" s="2"/>
      <c r="C197" s="2"/>
      <c r="D197" s="2"/>
      <c r="E197" s="2"/>
      <c r="F197" s="2"/>
      <c r="G197" s="2"/>
      <c r="H197" s="3"/>
    </row>
    <row r="198" ht="15.75" customHeight="1">
      <c r="H198" s="83"/>
    </row>
    <row r="199" ht="15.75" customHeight="1">
      <c r="A199" s="84" t="s">
        <v>90</v>
      </c>
      <c r="B199" s="117" t="s">
        <v>3</v>
      </c>
      <c r="C199" s="85" t="s">
        <v>42</v>
      </c>
      <c r="D199" s="85" t="s">
        <v>110</v>
      </c>
      <c r="E199" s="86" t="s">
        <v>111</v>
      </c>
      <c r="F199" s="85" t="s">
        <v>93</v>
      </c>
      <c r="G199" s="118" t="s">
        <v>10</v>
      </c>
      <c r="H199" s="87" t="s">
        <v>11</v>
      </c>
    </row>
    <row r="200" ht="15.75" customHeight="1">
      <c r="A200" s="119"/>
      <c r="G200" s="120"/>
      <c r="H200" s="74"/>
    </row>
    <row r="201" ht="15.75" customHeight="1">
      <c r="A201" s="22"/>
      <c r="B201" s="75"/>
      <c r="C201" s="25"/>
      <c r="D201" s="25"/>
      <c r="E201" s="25"/>
      <c r="F201" s="25"/>
      <c r="G201" s="25">
        <f t="shared" ref="G201:G205" si="9">SUM(D201+E201)*100</f>
        <v>0</v>
      </c>
      <c r="H201" s="121">
        <f>SUM(G201,G202,G203,G204,G205)</f>
        <v>0</v>
      </c>
    </row>
    <row r="202" ht="15.75" customHeight="1">
      <c r="A202" s="22"/>
      <c r="B202" s="75"/>
      <c r="C202" s="25"/>
      <c r="D202" s="25"/>
      <c r="E202" s="25"/>
      <c r="F202" s="25"/>
      <c r="G202" s="25">
        <f t="shared" si="9"/>
        <v>0</v>
      </c>
      <c r="H202" s="122"/>
    </row>
    <row r="203" ht="15.75" customHeight="1">
      <c r="A203" s="22"/>
      <c r="B203" s="75"/>
      <c r="C203" s="25"/>
      <c r="D203" s="25"/>
      <c r="E203" s="25"/>
      <c r="F203" s="25"/>
      <c r="G203" s="25">
        <f t="shared" si="9"/>
        <v>0</v>
      </c>
      <c r="H203" s="122"/>
    </row>
    <row r="204" ht="15.75" customHeight="1">
      <c r="A204" s="22"/>
      <c r="B204" s="75"/>
      <c r="C204" s="25"/>
      <c r="D204" s="25"/>
      <c r="E204" s="25"/>
      <c r="F204" s="25"/>
      <c r="G204" s="25">
        <f t="shared" si="9"/>
        <v>0</v>
      </c>
      <c r="H204" s="122"/>
    </row>
    <row r="205" ht="15.75" customHeight="1">
      <c r="A205" s="32"/>
      <c r="B205" s="123"/>
      <c r="C205" s="33"/>
      <c r="D205" s="33"/>
      <c r="E205" s="33"/>
      <c r="F205" s="33"/>
      <c r="G205" s="33">
        <f t="shared" si="9"/>
        <v>0</v>
      </c>
      <c r="H205" s="124"/>
    </row>
    <row r="206" ht="15.75" customHeight="1">
      <c r="A206" s="28"/>
      <c r="B206" s="28"/>
      <c r="C206" s="28"/>
      <c r="D206" s="28"/>
      <c r="E206" s="28"/>
      <c r="F206" s="28"/>
      <c r="G206" s="28"/>
    </row>
    <row r="207" ht="15.75" customHeight="1"/>
    <row r="208" ht="15.75" customHeight="1">
      <c r="A208" s="44" t="s">
        <v>41</v>
      </c>
      <c r="B208" s="2"/>
      <c r="C208" s="2"/>
      <c r="D208" s="2"/>
      <c r="E208" s="3"/>
    </row>
    <row r="209" ht="15.75" customHeight="1">
      <c r="E209" s="83"/>
    </row>
    <row r="210" ht="15.75" customHeight="1">
      <c r="A210" s="84" t="s">
        <v>39</v>
      </c>
      <c r="B210" s="85" t="s">
        <v>3</v>
      </c>
      <c r="C210" s="85" t="s">
        <v>42</v>
      </c>
      <c r="D210" s="86" t="s">
        <v>43</v>
      </c>
      <c r="E210" s="87" t="s">
        <v>11</v>
      </c>
    </row>
    <row r="211" ht="15.75" customHeight="1">
      <c r="A211" s="45"/>
      <c r="E211" s="64"/>
    </row>
    <row r="212" ht="15.75" customHeight="1">
      <c r="A212" s="88">
        <v>1.0</v>
      </c>
      <c r="B212" s="90"/>
      <c r="C212" s="90"/>
      <c r="D212" s="90"/>
      <c r="E212" s="56">
        <f>D212*200</f>
        <v>0</v>
      </c>
    </row>
    <row r="213" ht="15.75" customHeight="1">
      <c r="A213" s="91"/>
      <c r="B213" s="92"/>
      <c r="C213" s="92"/>
      <c r="D213" s="92"/>
      <c r="E213" s="35"/>
    </row>
    <row r="214" ht="15.75" customHeight="1">
      <c r="A214" s="52"/>
      <c r="B214" s="52"/>
      <c r="C214" s="52"/>
      <c r="D214" s="52"/>
      <c r="E214" s="52"/>
    </row>
    <row r="215" ht="15.75" customHeight="1"/>
    <row r="216" ht="15.75" customHeight="1">
      <c r="A216" s="44" t="s">
        <v>94</v>
      </c>
      <c r="B216" s="2"/>
      <c r="C216" s="2"/>
      <c r="D216" s="2"/>
      <c r="E216" s="2"/>
      <c r="F216" s="3"/>
    </row>
    <row r="217" ht="15.75" customHeight="1">
      <c r="F217" s="72"/>
    </row>
    <row r="218" ht="15.75" customHeight="1">
      <c r="A218" s="78" t="s">
        <v>39</v>
      </c>
      <c r="B218" s="47" t="s">
        <v>3</v>
      </c>
      <c r="C218" s="48" t="s">
        <v>45</v>
      </c>
      <c r="D218" s="48" t="s">
        <v>95</v>
      </c>
      <c r="E218" s="47" t="s">
        <v>10</v>
      </c>
      <c r="F218" s="49" t="s">
        <v>11</v>
      </c>
    </row>
    <row r="219" ht="15.75" customHeight="1">
      <c r="A219" s="45"/>
      <c r="F219" s="64"/>
    </row>
    <row r="220" ht="15.75" customHeight="1">
      <c r="A220" s="88">
        <v>1.0</v>
      </c>
      <c r="B220" s="90"/>
      <c r="C220" s="90"/>
      <c r="D220" s="90"/>
      <c r="E220" s="90">
        <f t="shared" ref="E220:E225" si="10">D220*50</f>
        <v>0</v>
      </c>
      <c r="F220" s="56">
        <f>SUM(E220,E221,E222,E223,E224,E225)</f>
        <v>0</v>
      </c>
    </row>
    <row r="221" ht="15.75" customHeight="1">
      <c r="A221" s="88">
        <v>2.0</v>
      </c>
      <c r="B221" s="90"/>
      <c r="C221" s="90"/>
      <c r="D221" s="90"/>
      <c r="E221" s="90">
        <f t="shared" si="10"/>
        <v>0</v>
      </c>
      <c r="F221" s="30"/>
    </row>
    <row r="222" ht="15.75" customHeight="1">
      <c r="A222" s="88">
        <v>3.0</v>
      </c>
      <c r="B222" s="90"/>
      <c r="C222" s="90"/>
      <c r="D222" s="90"/>
      <c r="E222" s="90">
        <f t="shared" si="10"/>
        <v>0</v>
      </c>
      <c r="F222" s="30"/>
    </row>
    <row r="223" ht="15.75" customHeight="1">
      <c r="A223" s="88">
        <v>4.0</v>
      </c>
      <c r="B223" s="90"/>
      <c r="C223" s="90"/>
      <c r="D223" s="90"/>
      <c r="E223" s="90">
        <f t="shared" si="10"/>
        <v>0</v>
      </c>
      <c r="F223" s="30"/>
    </row>
    <row r="224" ht="15.75" customHeight="1">
      <c r="A224" s="88">
        <v>5.0</v>
      </c>
      <c r="B224" s="90"/>
      <c r="C224" s="90"/>
      <c r="D224" s="90"/>
      <c r="E224" s="90">
        <f t="shared" si="10"/>
        <v>0</v>
      </c>
      <c r="F224" s="30"/>
    </row>
    <row r="225" ht="15.75" customHeight="1">
      <c r="A225" s="91"/>
      <c r="B225" s="92"/>
      <c r="C225" s="92"/>
      <c r="D225" s="92"/>
      <c r="E225" s="92">
        <f t="shared" si="10"/>
        <v>0</v>
      </c>
      <c r="F225" s="35"/>
    </row>
    <row r="226" ht="15.75" customHeight="1"/>
    <row r="227" ht="15.75" customHeight="1"/>
    <row r="228" ht="15.75" customHeight="1">
      <c r="A228" s="44" t="s">
        <v>44</v>
      </c>
      <c r="B228" s="2"/>
      <c r="C228" s="2"/>
      <c r="D228" s="2"/>
      <c r="E228" s="2"/>
      <c r="F228" s="3"/>
    </row>
    <row r="229" ht="15.75" customHeight="1">
      <c r="F229" s="83"/>
    </row>
    <row r="230" ht="15.75" customHeight="1">
      <c r="A230" s="84" t="s">
        <v>39</v>
      </c>
      <c r="B230" s="85" t="s">
        <v>3</v>
      </c>
      <c r="C230" s="86" t="s">
        <v>45</v>
      </c>
      <c r="D230" s="86" t="s">
        <v>46</v>
      </c>
      <c r="E230" s="85" t="s">
        <v>10</v>
      </c>
      <c r="F230" s="87" t="s">
        <v>11</v>
      </c>
    </row>
    <row r="231" ht="15.75" customHeight="1">
      <c r="A231" s="68"/>
      <c r="B231" s="28"/>
      <c r="C231" s="28"/>
      <c r="D231" s="28"/>
      <c r="E231" s="28"/>
      <c r="F231" s="70"/>
    </row>
    <row r="232" ht="15.75" customHeight="1">
      <c r="A232" s="22">
        <v>1.0</v>
      </c>
      <c r="B232" s="25"/>
      <c r="C232" s="25"/>
      <c r="D232" s="25"/>
      <c r="E232" s="25">
        <f t="shared" ref="E232:E237" si="11">D232*50</f>
        <v>0</v>
      </c>
      <c r="F232" s="43">
        <f>SUM(E232,E233,E234,E235,E236,E237)</f>
        <v>0</v>
      </c>
    </row>
    <row r="233" ht="15.75" customHeight="1">
      <c r="A233" s="22">
        <v>2.0</v>
      </c>
      <c r="B233" s="25"/>
      <c r="C233" s="25"/>
      <c r="D233" s="25"/>
      <c r="E233" s="25">
        <f t="shared" si="11"/>
        <v>0</v>
      </c>
      <c r="F233" s="30"/>
    </row>
    <row r="234" ht="15.75" customHeight="1">
      <c r="A234" s="22">
        <v>3.0</v>
      </c>
      <c r="B234" s="25"/>
      <c r="C234" s="25"/>
      <c r="D234" s="25"/>
      <c r="E234" s="25">
        <f t="shared" si="11"/>
        <v>0</v>
      </c>
      <c r="F234" s="30"/>
    </row>
    <row r="235" ht="15.75" customHeight="1">
      <c r="A235" s="22">
        <v>4.0</v>
      </c>
      <c r="B235" s="25"/>
      <c r="C235" s="25"/>
      <c r="D235" s="25"/>
      <c r="E235" s="25">
        <f t="shared" si="11"/>
        <v>0</v>
      </c>
      <c r="F235" s="30"/>
    </row>
    <row r="236" ht="15.75" customHeight="1">
      <c r="A236" s="22">
        <v>5.0</v>
      </c>
      <c r="B236" s="25"/>
      <c r="C236" s="25"/>
      <c r="D236" s="25"/>
      <c r="E236" s="25">
        <f t="shared" si="11"/>
        <v>0</v>
      </c>
      <c r="F236" s="30"/>
    </row>
    <row r="237" ht="15.75" customHeight="1">
      <c r="A237" s="32">
        <v>6.0</v>
      </c>
      <c r="B237" s="33"/>
      <c r="C237" s="33"/>
      <c r="D237" s="33"/>
      <c r="E237" s="33">
        <f t="shared" si="11"/>
        <v>0</v>
      </c>
      <c r="F237" s="3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>
      <c r="A245" s="44" t="s">
        <v>112</v>
      </c>
      <c r="B245" s="2"/>
      <c r="C245" s="3"/>
    </row>
    <row r="246" ht="15.75" customHeight="1">
      <c r="A246" s="45"/>
      <c r="C246" s="64"/>
    </row>
    <row r="247" ht="15.75" customHeight="1">
      <c r="A247" s="46" t="s">
        <v>2</v>
      </c>
      <c r="B247" s="48" t="s">
        <v>50</v>
      </c>
      <c r="C247" s="94" t="s">
        <v>51</v>
      </c>
    </row>
    <row r="248" ht="15.75" customHeight="1">
      <c r="A248" s="38"/>
      <c r="B248" s="40"/>
      <c r="C248" s="41"/>
    </row>
    <row r="249" ht="15.75" customHeight="1">
      <c r="A249" s="22">
        <v>1.0</v>
      </c>
      <c r="B249" s="25" t="s">
        <v>52</v>
      </c>
      <c r="C249" s="95">
        <f>J8</f>
        <v>0</v>
      </c>
    </row>
    <row r="250" ht="15.75" customHeight="1">
      <c r="A250" s="22">
        <v>2.0</v>
      </c>
      <c r="B250" s="25" t="s">
        <v>53</v>
      </c>
      <c r="C250" s="95">
        <f>F22</f>
        <v>0</v>
      </c>
    </row>
    <row r="251" ht="15.75" customHeight="1">
      <c r="A251" s="22">
        <v>3.0</v>
      </c>
      <c r="B251" s="25" t="s">
        <v>97</v>
      </c>
      <c r="C251" s="95">
        <f>H36</f>
        <v>0</v>
      </c>
    </row>
    <row r="252" ht="15.75" customHeight="1">
      <c r="A252" s="22">
        <v>4.0</v>
      </c>
      <c r="B252" s="25" t="s">
        <v>68</v>
      </c>
      <c r="C252" s="95">
        <f>H50</f>
        <v>0</v>
      </c>
    </row>
    <row r="253" ht="15.75" customHeight="1">
      <c r="A253" s="22">
        <v>5.0</v>
      </c>
      <c r="B253" s="25" t="s">
        <v>98</v>
      </c>
      <c r="C253" s="95">
        <f>G69</f>
        <v>0</v>
      </c>
    </row>
    <row r="254" ht="15.75" customHeight="1">
      <c r="A254" s="22">
        <v>6.0</v>
      </c>
      <c r="B254" s="25" t="s">
        <v>99</v>
      </c>
      <c r="C254" s="95">
        <f>E83</f>
        <v>0</v>
      </c>
    </row>
    <row r="255" ht="15.75" customHeight="1">
      <c r="A255" s="22">
        <v>7.0</v>
      </c>
      <c r="B255" s="25" t="s">
        <v>54</v>
      </c>
      <c r="C255" s="95">
        <f>E97</f>
        <v>300</v>
      </c>
    </row>
    <row r="256" ht="15.75" customHeight="1">
      <c r="A256" s="22">
        <v>8.0</v>
      </c>
      <c r="B256" s="96" t="s">
        <v>55</v>
      </c>
      <c r="C256" s="95">
        <f>E110</f>
        <v>100</v>
      </c>
    </row>
    <row r="257" ht="15.75" customHeight="1">
      <c r="A257" s="22">
        <v>9.0</v>
      </c>
      <c r="B257" s="96" t="s">
        <v>56</v>
      </c>
      <c r="C257" s="95">
        <f>F124</f>
        <v>0</v>
      </c>
    </row>
    <row r="258" ht="15.75" customHeight="1">
      <c r="A258" s="22">
        <v>10.0</v>
      </c>
      <c r="B258" s="96" t="s">
        <v>57</v>
      </c>
      <c r="C258" s="95">
        <f>F137</f>
        <v>0</v>
      </c>
    </row>
    <row r="259" ht="15.75" customHeight="1">
      <c r="A259" s="22">
        <v>12.0</v>
      </c>
      <c r="B259" s="96" t="s">
        <v>100</v>
      </c>
      <c r="C259" s="95">
        <f>G151</f>
        <v>0</v>
      </c>
    </row>
    <row r="260" ht="15.75" customHeight="1">
      <c r="A260" s="22">
        <v>13.0</v>
      </c>
      <c r="B260" s="96" t="s">
        <v>101</v>
      </c>
      <c r="C260" s="95">
        <f>G166</f>
        <v>0</v>
      </c>
    </row>
    <row r="261" ht="15.75" customHeight="1">
      <c r="A261" s="22">
        <v>14.0</v>
      </c>
      <c r="B261" s="96" t="s">
        <v>102</v>
      </c>
      <c r="C261" s="95">
        <f>F180</f>
        <v>0</v>
      </c>
    </row>
    <row r="262" ht="15.75" customHeight="1">
      <c r="A262" s="22">
        <v>15.0</v>
      </c>
      <c r="B262" s="96" t="s">
        <v>58</v>
      </c>
      <c r="C262" s="95">
        <f>D193</f>
        <v>0</v>
      </c>
    </row>
    <row r="263" ht="15.75" customHeight="1">
      <c r="A263" s="22">
        <v>16.0</v>
      </c>
      <c r="B263" s="96" t="s">
        <v>103</v>
      </c>
      <c r="C263" s="95">
        <f>H201</f>
        <v>0</v>
      </c>
    </row>
    <row r="264" ht="15.75" customHeight="1">
      <c r="A264" s="22">
        <v>17.0</v>
      </c>
      <c r="B264" s="96" t="s">
        <v>59</v>
      </c>
      <c r="C264" s="95">
        <f>E212</f>
        <v>0</v>
      </c>
    </row>
    <row r="265" ht="15.75" customHeight="1">
      <c r="A265" s="22">
        <v>18.0</v>
      </c>
      <c r="B265" s="96" t="s">
        <v>104</v>
      </c>
      <c r="C265" s="95">
        <f>F220</f>
        <v>0</v>
      </c>
    </row>
    <row r="266" ht="15.75" customHeight="1">
      <c r="A266" s="22">
        <v>19.0</v>
      </c>
      <c r="B266" s="96" t="s">
        <v>60</v>
      </c>
      <c r="C266" s="95">
        <f>F232</f>
        <v>0</v>
      </c>
    </row>
    <row r="267" ht="15.75" customHeight="1">
      <c r="A267" s="22">
        <v>20.0</v>
      </c>
      <c r="B267" s="96" t="s">
        <v>61</v>
      </c>
      <c r="C267" s="95"/>
    </row>
    <row r="268" ht="15.75" customHeight="1">
      <c r="A268" s="22"/>
      <c r="B268" s="25"/>
      <c r="C268" s="95"/>
    </row>
    <row r="269" ht="15.75" customHeight="1">
      <c r="A269" s="97" t="s">
        <v>62</v>
      </c>
      <c r="B269" s="98"/>
      <c r="C269" s="99">
        <f>SUM(C249:C267)</f>
        <v>400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H36:H43"/>
    <mergeCell ref="I50:I62"/>
    <mergeCell ref="G69:G76"/>
    <mergeCell ref="A1:J1"/>
    <mergeCell ref="A4:J4"/>
    <mergeCell ref="J8:J15"/>
    <mergeCell ref="A18:F18"/>
    <mergeCell ref="F22:F29"/>
    <mergeCell ref="A32:H32"/>
    <mergeCell ref="A46:I46"/>
    <mergeCell ref="A65:G65"/>
    <mergeCell ref="A79:E79"/>
    <mergeCell ref="C83:C90"/>
    <mergeCell ref="D83:D90"/>
    <mergeCell ref="E83:E90"/>
    <mergeCell ref="F83:F90"/>
    <mergeCell ref="A93:E93"/>
    <mergeCell ref="D97:D103"/>
    <mergeCell ref="E97:E103"/>
    <mergeCell ref="F97:F103"/>
    <mergeCell ref="A106:E106"/>
    <mergeCell ref="D110:D117"/>
    <mergeCell ref="E110:E117"/>
    <mergeCell ref="A120:F120"/>
    <mergeCell ref="F124:F130"/>
    <mergeCell ref="A133:F133"/>
    <mergeCell ref="F137:F143"/>
    <mergeCell ref="A147:G147"/>
    <mergeCell ref="F151:F158"/>
    <mergeCell ref="G151:G158"/>
    <mergeCell ref="A162:G162"/>
    <mergeCell ref="G180:G186"/>
    <mergeCell ref="H201:H205"/>
    <mergeCell ref="A208:E208"/>
    <mergeCell ref="E212:E213"/>
    <mergeCell ref="A216:F216"/>
    <mergeCell ref="F220:F225"/>
    <mergeCell ref="A228:F228"/>
    <mergeCell ref="F232:F237"/>
    <mergeCell ref="A245:C245"/>
    <mergeCell ref="A269:B269"/>
    <mergeCell ref="G166:G173"/>
    <mergeCell ref="A176:F176"/>
    <mergeCell ref="D180:D186"/>
    <mergeCell ref="E180:E186"/>
    <mergeCell ref="F180:F186"/>
    <mergeCell ref="A189:D189"/>
    <mergeCell ref="A197:H19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7.43"/>
    <col customWidth="1" min="3" max="3" width="24.86"/>
    <col customWidth="1" min="4" max="4" width="32.14"/>
    <col customWidth="1" min="5" max="5" width="28.86"/>
    <col customWidth="1" min="6" max="6" width="29.29"/>
    <col customWidth="1" min="7" max="7" width="23.43"/>
    <col customWidth="1" min="8" max="8" width="23.0"/>
    <col customWidth="1" min="9" max="9" width="14.86"/>
    <col customWidth="1" min="10" max="10" width="14.0"/>
    <col customWidth="1" min="11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4">
      <c r="A4" s="5" t="s">
        <v>1</v>
      </c>
      <c r="B4" s="2"/>
      <c r="C4" s="2"/>
      <c r="D4" s="2"/>
      <c r="E4" s="2"/>
      <c r="F4" s="2"/>
      <c r="G4" s="2"/>
      <c r="H4" s="2"/>
      <c r="I4" s="2"/>
      <c r="J4" s="3"/>
    </row>
    <row r="5">
      <c r="A5" s="7"/>
      <c r="B5" s="8"/>
      <c r="C5" s="8"/>
      <c r="D5" s="8"/>
      <c r="E5" s="8"/>
      <c r="F5" s="8"/>
      <c r="G5" s="8"/>
      <c r="H5" s="9"/>
      <c r="J5" s="10"/>
    </row>
    <row r="6" ht="55.5" customHeight="1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5" t="s">
        <v>11</v>
      </c>
    </row>
    <row r="7" ht="18.0" customHeight="1">
      <c r="A7" s="17"/>
      <c r="B7" s="18"/>
      <c r="C7" s="19"/>
      <c r="D7" s="19"/>
      <c r="E7" s="19"/>
      <c r="F7" s="19"/>
      <c r="G7" s="19"/>
      <c r="H7" s="19"/>
      <c r="I7" s="19"/>
      <c r="J7" s="100"/>
    </row>
    <row r="8">
      <c r="A8" s="22"/>
      <c r="B8" s="25"/>
      <c r="C8" s="25"/>
      <c r="D8" s="25"/>
      <c r="E8" s="25"/>
      <c r="F8" s="25"/>
      <c r="G8" s="25"/>
      <c r="H8" s="25"/>
      <c r="I8" s="101">
        <f t="shared" ref="I8:I15" si="1">SUM((E8*300)+F8*200)+(G8*50)+(H8*0)</f>
        <v>0</v>
      </c>
      <c r="J8" s="43">
        <f>SUM(I7:I15)</f>
        <v>0</v>
      </c>
    </row>
    <row r="9">
      <c r="A9" s="22"/>
      <c r="B9" s="25"/>
      <c r="C9" s="25"/>
      <c r="D9" s="25"/>
      <c r="E9" s="25"/>
      <c r="F9" s="25"/>
      <c r="G9" s="25"/>
      <c r="H9" s="25"/>
      <c r="I9" s="101">
        <f t="shared" si="1"/>
        <v>0</v>
      </c>
      <c r="J9" s="30"/>
    </row>
    <row r="10">
      <c r="A10" s="22"/>
      <c r="B10" s="25"/>
      <c r="C10" s="25"/>
      <c r="D10" s="25"/>
      <c r="E10" s="25"/>
      <c r="F10" s="25"/>
      <c r="G10" s="25"/>
      <c r="H10" s="25"/>
      <c r="I10" s="101">
        <f t="shared" si="1"/>
        <v>0</v>
      </c>
      <c r="J10" s="30"/>
    </row>
    <row r="11">
      <c r="A11" s="22"/>
      <c r="B11" s="25"/>
      <c r="C11" s="25"/>
      <c r="D11" s="25"/>
      <c r="E11" s="25"/>
      <c r="F11" s="25"/>
      <c r="G11" s="25"/>
      <c r="H11" s="25"/>
      <c r="I11" s="101">
        <f t="shared" si="1"/>
        <v>0</v>
      </c>
      <c r="J11" s="30"/>
    </row>
    <row r="12">
      <c r="A12" s="22"/>
      <c r="B12" s="25"/>
      <c r="C12" s="25"/>
      <c r="D12" s="25"/>
      <c r="E12" s="25"/>
      <c r="F12" s="25"/>
      <c r="G12" s="25"/>
      <c r="H12" s="25"/>
      <c r="I12" s="101">
        <f t="shared" si="1"/>
        <v>0</v>
      </c>
      <c r="J12" s="30"/>
    </row>
    <row r="13">
      <c r="A13" s="22"/>
      <c r="B13" s="25"/>
      <c r="C13" s="25"/>
      <c r="D13" s="25"/>
      <c r="E13" s="25"/>
      <c r="F13" s="25"/>
      <c r="G13" s="25"/>
      <c r="H13" s="25"/>
      <c r="I13" s="101">
        <f t="shared" si="1"/>
        <v>0</v>
      </c>
      <c r="J13" s="30"/>
    </row>
    <row r="14">
      <c r="A14" s="22"/>
      <c r="B14" s="25"/>
      <c r="C14" s="25"/>
      <c r="D14" s="25"/>
      <c r="E14" s="25"/>
      <c r="F14" s="25"/>
      <c r="G14" s="25"/>
      <c r="H14" s="25"/>
      <c r="I14" s="101">
        <f t="shared" si="1"/>
        <v>0</v>
      </c>
      <c r="J14" s="30"/>
    </row>
    <row r="15">
      <c r="A15" s="32"/>
      <c r="B15" s="33"/>
      <c r="C15" s="33"/>
      <c r="D15" s="33"/>
      <c r="E15" s="33"/>
      <c r="F15" s="33"/>
      <c r="G15" s="33"/>
      <c r="H15" s="33"/>
      <c r="I15" s="102">
        <f t="shared" si="1"/>
        <v>0</v>
      </c>
      <c r="J15" s="35"/>
    </row>
    <row r="18">
      <c r="A18" s="5" t="s">
        <v>18</v>
      </c>
      <c r="B18" s="2"/>
      <c r="C18" s="2"/>
      <c r="D18" s="2"/>
      <c r="E18" s="2"/>
      <c r="F18" s="3"/>
    </row>
    <row r="19">
      <c r="A19" s="7"/>
      <c r="B19" s="8"/>
      <c r="C19" s="8"/>
      <c r="D19" s="8"/>
      <c r="E19" s="8"/>
      <c r="F19" s="37"/>
    </row>
    <row r="20">
      <c r="A20" s="11" t="s">
        <v>2</v>
      </c>
      <c r="B20" s="12" t="s">
        <v>3</v>
      </c>
      <c r="C20" s="13" t="s">
        <v>19</v>
      </c>
      <c r="D20" s="13" t="s">
        <v>20</v>
      </c>
      <c r="E20" s="13" t="s">
        <v>10</v>
      </c>
      <c r="F20" s="15" t="s">
        <v>11</v>
      </c>
    </row>
    <row r="21" ht="15.75" customHeight="1">
      <c r="A21" s="38"/>
      <c r="B21" s="39"/>
      <c r="C21" s="40"/>
      <c r="D21" s="40"/>
      <c r="E21" s="40"/>
      <c r="F21" s="41"/>
    </row>
    <row r="22" ht="15.75" customHeight="1">
      <c r="A22" s="22"/>
      <c r="B22" s="25"/>
      <c r="C22" s="25"/>
      <c r="D22" s="25"/>
      <c r="E22" s="25">
        <f t="shared" ref="E22:E29" si="2">(D22*500)</f>
        <v>0</v>
      </c>
      <c r="F22" s="43">
        <f>SUM(E22:E29)</f>
        <v>0</v>
      </c>
    </row>
    <row r="23" ht="15.75" customHeight="1">
      <c r="A23" s="22"/>
      <c r="B23" s="25"/>
      <c r="C23" s="25"/>
      <c r="D23" s="25"/>
      <c r="E23" s="25">
        <f t="shared" si="2"/>
        <v>0</v>
      </c>
      <c r="F23" s="30"/>
    </row>
    <row r="24" ht="15.75" customHeight="1">
      <c r="A24" s="22"/>
      <c r="B24" s="25"/>
      <c r="C24" s="25"/>
      <c r="D24" s="25"/>
      <c r="E24" s="25">
        <f t="shared" si="2"/>
        <v>0</v>
      </c>
      <c r="F24" s="30"/>
    </row>
    <row r="25" ht="15.75" customHeight="1">
      <c r="A25" s="22"/>
      <c r="B25" s="25"/>
      <c r="C25" s="25"/>
      <c r="D25" s="25"/>
      <c r="E25" s="25">
        <f t="shared" si="2"/>
        <v>0</v>
      </c>
      <c r="F25" s="30"/>
    </row>
    <row r="26" ht="15.75" customHeight="1">
      <c r="A26" s="22"/>
      <c r="B26" s="25"/>
      <c r="C26" s="25"/>
      <c r="D26" s="25"/>
      <c r="E26" s="25">
        <f t="shared" si="2"/>
        <v>0</v>
      </c>
      <c r="F26" s="30"/>
    </row>
    <row r="27" ht="15.75" customHeight="1">
      <c r="A27" s="22"/>
      <c r="B27" s="25"/>
      <c r="C27" s="25"/>
      <c r="D27" s="25"/>
      <c r="E27" s="25">
        <f t="shared" si="2"/>
        <v>0</v>
      </c>
      <c r="F27" s="30"/>
    </row>
    <row r="28" ht="15.75" customHeight="1">
      <c r="A28" s="22"/>
      <c r="B28" s="25"/>
      <c r="C28" s="25"/>
      <c r="D28" s="25"/>
      <c r="E28" s="25">
        <f t="shared" si="2"/>
        <v>0</v>
      </c>
      <c r="F28" s="30"/>
    </row>
    <row r="29" ht="15.75" customHeight="1">
      <c r="A29" s="32"/>
      <c r="B29" s="33"/>
      <c r="C29" s="33"/>
      <c r="D29" s="33"/>
      <c r="E29" s="33">
        <f t="shared" si="2"/>
        <v>0</v>
      </c>
      <c r="F29" s="35"/>
    </row>
    <row r="30" ht="15.75" customHeight="1"/>
    <row r="31" ht="15.75" customHeight="1"/>
    <row r="32" ht="15.75" customHeight="1">
      <c r="A32" s="5" t="s">
        <v>64</v>
      </c>
      <c r="B32" s="2"/>
      <c r="C32" s="2"/>
      <c r="D32" s="2"/>
      <c r="E32" s="2"/>
      <c r="F32" s="2"/>
      <c r="G32" s="2"/>
      <c r="H32" s="3"/>
    </row>
    <row r="33" ht="15.75" customHeight="1">
      <c r="A33" s="7"/>
      <c r="B33" s="8"/>
      <c r="C33" s="8"/>
      <c r="D33" s="8"/>
      <c r="E33" s="8"/>
      <c r="F33" s="8"/>
      <c r="G33" s="8"/>
      <c r="H33" s="37"/>
    </row>
    <row r="34" ht="15.75" customHeight="1">
      <c r="A34" s="46" t="s">
        <v>2</v>
      </c>
      <c r="B34" s="47" t="s">
        <v>3</v>
      </c>
      <c r="C34" s="48" t="s">
        <v>34</v>
      </c>
      <c r="D34" s="48" t="s">
        <v>65</v>
      </c>
      <c r="E34" s="48" t="s">
        <v>66</v>
      </c>
      <c r="F34" s="48" t="s">
        <v>107</v>
      </c>
      <c r="G34" s="48" t="s">
        <v>10</v>
      </c>
      <c r="H34" s="94" t="s">
        <v>11</v>
      </c>
    </row>
    <row r="35" ht="15.75" customHeight="1">
      <c r="A35" s="16"/>
      <c r="B35" s="50"/>
      <c r="C35" s="16"/>
      <c r="D35" s="16"/>
      <c r="E35" s="16"/>
      <c r="F35" s="16"/>
      <c r="G35" s="16"/>
      <c r="H35" s="41"/>
    </row>
    <row r="36" ht="15.75" customHeight="1">
      <c r="A36" s="22"/>
      <c r="B36" s="25"/>
      <c r="C36" s="25"/>
      <c r="D36" s="25"/>
      <c r="E36" s="25"/>
      <c r="F36" s="25"/>
      <c r="G36" s="25">
        <f t="shared" ref="G36:G43" si="3">SUM((D36*50)+(E36*100)+(F36*150))</f>
        <v>0</v>
      </c>
      <c r="H36" s="43">
        <f>SUM(G36:G43)</f>
        <v>0</v>
      </c>
    </row>
    <row r="37" ht="15.75" customHeight="1">
      <c r="A37" s="22"/>
      <c r="B37" s="29"/>
      <c r="C37" s="25"/>
      <c r="D37" s="25"/>
      <c r="E37" s="25"/>
      <c r="F37" s="25"/>
      <c r="G37" s="25">
        <f t="shared" si="3"/>
        <v>0</v>
      </c>
      <c r="H37" s="30"/>
    </row>
    <row r="38" ht="15.75" customHeight="1">
      <c r="A38" s="22"/>
      <c r="B38" s="29"/>
      <c r="C38" s="25"/>
      <c r="D38" s="25"/>
      <c r="E38" s="25"/>
      <c r="F38" s="25"/>
      <c r="G38" s="25">
        <f t="shared" si="3"/>
        <v>0</v>
      </c>
      <c r="H38" s="30"/>
    </row>
    <row r="39" ht="15.75" customHeight="1">
      <c r="A39" s="22"/>
      <c r="B39" s="29"/>
      <c r="C39" s="25"/>
      <c r="D39" s="25"/>
      <c r="E39" s="25"/>
      <c r="F39" s="25"/>
      <c r="G39" s="25">
        <f t="shared" si="3"/>
        <v>0</v>
      </c>
      <c r="H39" s="30"/>
    </row>
    <row r="40" ht="15.75" customHeight="1">
      <c r="A40" s="22"/>
      <c r="B40" s="29"/>
      <c r="C40" s="25"/>
      <c r="D40" s="25"/>
      <c r="E40" s="25"/>
      <c r="F40" s="25"/>
      <c r="G40" s="25">
        <f t="shared" si="3"/>
        <v>0</v>
      </c>
      <c r="H40" s="30"/>
    </row>
    <row r="41" ht="15.75" customHeight="1">
      <c r="A41" s="22"/>
      <c r="B41" s="29"/>
      <c r="C41" s="25"/>
      <c r="D41" s="25"/>
      <c r="E41" s="25"/>
      <c r="F41" s="25"/>
      <c r="G41" s="25">
        <f t="shared" si="3"/>
        <v>0</v>
      </c>
      <c r="H41" s="30"/>
    </row>
    <row r="42" ht="15.75" customHeight="1">
      <c r="A42" s="22"/>
      <c r="B42" s="29"/>
      <c r="C42" s="25"/>
      <c r="D42" s="25"/>
      <c r="E42" s="25"/>
      <c r="F42" s="25"/>
      <c r="G42" s="25">
        <f t="shared" si="3"/>
        <v>0</v>
      </c>
      <c r="H42" s="30"/>
    </row>
    <row r="43" ht="15.75" customHeight="1">
      <c r="A43" s="32"/>
      <c r="B43" s="62"/>
      <c r="C43" s="33"/>
      <c r="D43" s="33"/>
      <c r="E43" s="33"/>
      <c r="F43" s="33"/>
      <c r="G43" s="33">
        <f t="shared" si="3"/>
        <v>0</v>
      </c>
      <c r="H43" s="35"/>
    </row>
    <row r="44" ht="15.75" customHeight="1"/>
    <row r="45" ht="15.75" customHeight="1"/>
    <row r="46" ht="15.75" customHeight="1">
      <c r="A46" s="44" t="s">
        <v>68</v>
      </c>
      <c r="B46" s="2"/>
      <c r="C46" s="2"/>
      <c r="D46" s="2"/>
      <c r="E46" s="2"/>
      <c r="F46" s="2"/>
      <c r="G46" s="2"/>
      <c r="H46" s="2"/>
      <c r="I46" s="3"/>
    </row>
    <row r="47" ht="15.75" customHeight="1">
      <c r="A47" s="45"/>
      <c r="H47" s="125"/>
      <c r="I47" s="10"/>
    </row>
    <row r="48" ht="15.75" customHeight="1">
      <c r="A48" s="46" t="s">
        <v>2</v>
      </c>
      <c r="B48" s="47" t="s">
        <v>3</v>
      </c>
      <c r="C48" s="48" t="s">
        <v>34</v>
      </c>
      <c r="D48" s="48" t="s">
        <v>65</v>
      </c>
      <c r="E48" s="48" t="s">
        <v>69</v>
      </c>
      <c r="F48" s="48" t="s">
        <v>70</v>
      </c>
      <c r="G48" s="48" t="s">
        <v>71</v>
      </c>
      <c r="H48" s="103" t="s">
        <v>10</v>
      </c>
      <c r="I48" s="94" t="s">
        <v>11</v>
      </c>
    </row>
    <row r="49" ht="15.75" customHeight="1">
      <c r="A49" s="51"/>
      <c r="B49" s="52"/>
      <c r="C49" s="52"/>
      <c r="D49" s="52"/>
      <c r="E49" s="52"/>
      <c r="F49" s="52"/>
      <c r="G49" s="52"/>
      <c r="H49" s="52"/>
      <c r="I49" s="126"/>
    </row>
    <row r="50" ht="15.75" customHeight="1">
      <c r="A50" s="104"/>
      <c r="B50" s="105"/>
      <c r="C50" s="96"/>
      <c r="D50" s="96"/>
      <c r="E50" s="96"/>
      <c r="F50" s="96"/>
      <c r="G50" s="25"/>
      <c r="H50" s="26">
        <f t="shared" ref="H50:H62" si="4">((D50*50)+(E50*150)+(F50*200)+(G50*300))</f>
        <v>0</v>
      </c>
      <c r="I50" s="43">
        <f>SUM(H50:H62)</f>
        <v>0</v>
      </c>
    </row>
    <row r="51" ht="15.75" customHeight="1">
      <c r="A51" s="104"/>
      <c r="B51" s="105"/>
      <c r="C51" s="96"/>
      <c r="D51" s="96"/>
      <c r="E51" s="96"/>
      <c r="F51" s="96"/>
      <c r="G51" s="25"/>
      <c r="H51" s="26">
        <f t="shared" si="4"/>
        <v>0</v>
      </c>
      <c r="I51" s="30"/>
    </row>
    <row r="52" ht="15.75" customHeight="1">
      <c r="A52" s="104"/>
      <c r="B52" s="105"/>
      <c r="C52" s="96"/>
      <c r="D52" s="96"/>
      <c r="E52" s="96"/>
      <c r="F52" s="96"/>
      <c r="G52" s="25"/>
      <c r="H52" s="26">
        <f t="shared" si="4"/>
        <v>0</v>
      </c>
      <c r="I52" s="30"/>
    </row>
    <row r="53" ht="15.75" customHeight="1">
      <c r="A53" s="104"/>
      <c r="B53" s="105"/>
      <c r="C53" s="96"/>
      <c r="D53" s="96"/>
      <c r="E53" s="96"/>
      <c r="F53" s="96"/>
      <c r="G53" s="25"/>
      <c r="H53" s="26">
        <f t="shared" si="4"/>
        <v>0</v>
      </c>
      <c r="I53" s="30"/>
    </row>
    <row r="54" ht="15.75" customHeight="1">
      <c r="A54" s="104"/>
      <c r="B54" s="105"/>
      <c r="C54" s="96"/>
      <c r="D54" s="96"/>
      <c r="E54" s="96"/>
      <c r="F54" s="96"/>
      <c r="G54" s="25"/>
      <c r="H54" s="26">
        <f t="shared" si="4"/>
        <v>0</v>
      </c>
      <c r="I54" s="30"/>
    </row>
    <row r="55" ht="15.75" customHeight="1">
      <c r="A55" s="104"/>
      <c r="B55" s="105"/>
      <c r="C55" s="96"/>
      <c r="D55" s="96"/>
      <c r="E55" s="96"/>
      <c r="F55" s="96"/>
      <c r="G55" s="25"/>
      <c r="H55" s="26">
        <f t="shared" si="4"/>
        <v>0</v>
      </c>
      <c r="I55" s="30"/>
    </row>
    <row r="56" ht="15.75" customHeight="1">
      <c r="A56" s="104"/>
      <c r="B56" s="105"/>
      <c r="C56" s="96"/>
      <c r="D56" s="96"/>
      <c r="E56" s="96"/>
      <c r="F56" s="96"/>
      <c r="G56" s="25"/>
      <c r="H56" s="26">
        <f t="shared" si="4"/>
        <v>0</v>
      </c>
      <c r="I56" s="30"/>
    </row>
    <row r="57" ht="15.75" customHeight="1">
      <c r="A57" s="104"/>
      <c r="B57" s="105"/>
      <c r="C57" s="96"/>
      <c r="D57" s="96"/>
      <c r="E57" s="96"/>
      <c r="F57" s="96"/>
      <c r="G57" s="25"/>
      <c r="H57" s="26">
        <f t="shared" si="4"/>
        <v>0</v>
      </c>
      <c r="I57" s="30"/>
    </row>
    <row r="58" ht="15.75" customHeight="1">
      <c r="A58" s="104"/>
      <c r="B58" s="105"/>
      <c r="C58" s="96"/>
      <c r="D58" s="96"/>
      <c r="E58" s="96"/>
      <c r="F58" s="96"/>
      <c r="G58" s="25"/>
      <c r="H58" s="26">
        <f t="shared" si="4"/>
        <v>0</v>
      </c>
      <c r="I58" s="30"/>
    </row>
    <row r="59" ht="15.75" customHeight="1">
      <c r="A59" s="104"/>
      <c r="B59" s="105"/>
      <c r="C59" s="96"/>
      <c r="D59" s="96"/>
      <c r="E59" s="96"/>
      <c r="F59" s="96"/>
      <c r="G59" s="25"/>
      <c r="H59" s="26">
        <f t="shared" si="4"/>
        <v>0</v>
      </c>
      <c r="I59" s="30"/>
    </row>
    <row r="60" ht="15.75" customHeight="1">
      <c r="A60" s="104"/>
      <c r="B60" s="105"/>
      <c r="C60" s="96"/>
      <c r="D60" s="96"/>
      <c r="E60" s="96"/>
      <c r="F60" s="96"/>
      <c r="G60" s="25"/>
      <c r="H60" s="26">
        <f t="shared" si="4"/>
        <v>0</v>
      </c>
      <c r="I60" s="30"/>
    </row>
    <row r="61" ht="15.75" customHeight="1">
      <c r="A61" s="104"/>
      <c r="B61" s="105"/>
      <c r="C61" s="96"/>
      <c r="D61" s="96"/>
      <c r="E61" s="96"/>
      <c r="F61" s="96"/>
      <c r="G61" s="25"/>
      <c r="H61" s="26">
        <f t="shared" si="4"/>
        <v>0</v>
      </c>
      <c r="I61" s="30"/>
    </row>
    <row r="62" ht="15.75" customHeight="1">
      <c r="A62" s="106"/>
      <c r="B62" s="107"/>
      <c r="C62" s="102"/>
      <c r="D62" s="33"/>
      <c r="E62" s="33"/>
      <c r="F62" s="33"/>
      <c r="G62" s="33"/>
      <c r="H62" s="34">
        <f t="shared" si="4"/>
        <v>0</v>
      </c>
      <c r="I62" s="35"/>
    </row>
    <row r="63" ht="15.75" customHeight="1"/>
    <row r="64" ht="15.75" customHeight="1"/>
    <row r="65" ht="15.75" customHeight="1">
      <c r="A65" s="5" t="s">
        <v>72</v>
      </c>
      <c r="B65" s="2"/>
      <c r="C65" s="2"/>
      <c r="D65" s="2"/>
      <c r="E65" s="2"/>
      <c r="F65" s="2"/>
      <c r="G65" s="3"/>
    </row>
    <row r="66" ht="15.75" customHeight="1">
      <c r="A66" s="7"/>
      <c r="B66" s="8"/>
      <c r="C66" s="8"/>
      <c r="D66" s="8"/>
      <c r="E66" s="8"/>
      <c r="F66" s="108"/>
      <c r="G66" s="109"/>
    </row>
    <row r="67" ht="15.75" customHeight="1">
      <c r="A67" s="11" t="s">
        <v>2</v>
      </c>
      <c r="B67" s="12" t="s">
        <v>3</v>
      </c>
      <c r="C67" s="13" t="s">
        <v>45</v>
      </c>
      <c r="D67" s="13" t="s">
        <v>108</v>
      </c>
      <c r="E67" s="13" t="s">
        <v>113</v>
      </c>
      <c r="F67" s="13" t="s">
        <v>10</v>
      </c>
      <c r="G67" s="15" t="s">
        <v>11</v>
      </c>
    </row>
    <row r="68" ht="15.75" customHeight="1">
      <c r="A68" s="11"/>
      <c r="B68" s="12"/>
      <c r="C68" s="13"/>
      <c r="D68" s="13"/>
      <c r="E68" s="13"/>
      <c r="F68" s="13"/>
      <c r="G68" s="15"/>
    </row>
    <row r="69" ht="15.75" customHeight="1">
      <c r="A69" s="22"/>
      <c r="B69" s="25"/>
      <c r="C69" s="25"/>
      <c r="D69" s="25"/>
      <c r="E69" s="25"/>
      <c r="F69" s="25">
        <f t="shared" ref="F69:F76" si="5">(D69*200)</f>
        <v>0</v>
      </c>
      <c r="G69" s="43">
        <f>SUM(F69:F76)</f>
        <v>0</v>
      </c>
    </row>
    <row r="70" ht="15.75" customHeight="1">
      <c r="A70" s="22"/>
      <c r="B70" s="25"/>
      <c r="C70" s="25"/>
      <c r="D70" s="25"/>
      <c r="E70" s="25"/>
      <c r="F70" s="25">
        <f t="shared" si="5"/>
        <v>0</v>
      </c>
      <c r="G70" s="30"/>
    </row>
    <row r="71" ht="15.75" customHeight="1">
      <c r="A71" s="22"/>
      <c r="B71" s="25"/>
      <c r="C71" s="25"/>
      <c r="D71" s="25"/>
      <c r="E71" s="25"/>
      <c r="F71" s="25">
        <f t="shared" si="5"/>
        <v>0</v>
      </c>
      <c r="G71" s="30"/>
    </row>
    <row r="72" ht="15.75" customHeight="1">
      <c r="A72" s="22"/>
      <c r="B72" s="25"/>
      <c r="C72" s="25"/>
      <c r="D72" s="25"/>
      <c r="E72" s="25"/>
      <c r="F72" s="25">
        <f t="shared" si="5"/>
        <v>0</v>
      </c>
      <c r="G72" s="30"/>
    </row>
    <row r="73" ht="15.75" customHeight="1">
      <c r="A73" s="22"/>
      <c r="B73" s="25"/>
      <c r="C73" s="25"/>
      <c r="D73" s="25"/>
      <c r="E73" s="25"/>
      <c r="F73" s="25">
        <f t="shared" si="5"/>
        <v>0</v>
      </c>
      <c r="G73" s="30"/>
    </row>
    <row r="74" ht="15.75" customHeight="1">
      <c r="A74" s="22"/>
      <c r="B74" s="25"/>
      <c r="C74" s="25"/>
      <c r="D74" s="25"/>
      <c r="E74" s="25"/>
      <c r="F74" s="25">
        <f t="shared" si="5"/>
        <v>0</v>
      </c>
      <c r="G74" s="30"/>
    </row>
    <row r="75" ht="15.75" customHeight="1">
      <c r="A75" s="22"/>
      <c r="B75" s="25"/>
      <c r="C75" s="25"/>
      <c r="D75" s="25"/>
      <c r="E75" s="25"/>
      <c r="F75" s="25">
        <f t="shared" si="5"/>
        <v>0</v>
      </c>
      <c r="G75" s="30"/>
    </row>
    <row r="76" ht="15.75" customHeight="1">
      <c r="A76" s="32"/>
      <c r="B76" s="33"/>
      <c r="C76" s="33"/>
      <c r="D76" s="33"/>
      <c r="E76" s="33"/>
      <c r="F76" s="33">
        <f t="shared" si="5"/>
        <v>0</v>
      </c>
      <c r="G76" s="35"/>
    </row>
    <row r="77" ht="15.75" customHeight="1"/>
    <row r="78" ht="15.75" customHeight="1"/>
    <row r="79" ht="15.75" customHeight="1">
      <c r="A79" s="5" t="s">
        <v>75</v>
      </c>
      <c r="B79" s="2"/>
      <c r="C79" s="2"/>
      <c r="D79" s="2"/>
      <c r="E79" s="3"/>
    </row>
    <row r="80" ht="15.75" customHeight="1">
      <c r="A80" s="7"/>
      <c r="B80" s="8"/>
      <c r="C80" s="8"/>
      <c r="D80" s="8"/>
      <c r="E80" s="37"/>
    </row>
    <row r="81" ht="15.75" customHeight="1">
      <c r="A81" s="11" t="s">
        <v>2</v>
      </c>
      <c r="B81" s="12" t="s">
        <v>76</v>
      </c>
      <c r="C81" s="13" t="s">
        <v>109</v>
      </c>
      <c r="D81" s="13" t="s">
        <v>78</v>
      </c>
      <c r="E81" s="15" t="s">
        <v>10</v>
      </c>
      <c r="F81" s="16"/>
    </row>
    <row r="82" ht="15.75" customHeight="1">
      <c r="A82" s="38"/>
      <c r="B82" s="39"/>
      <c r="C82" s="40"/>
      <c r="D82" s="40"/>
      <c r="E82" s="41"/>
      <c r="F82" s="16"/>
    </row>
    <row r="83" ht="15.75" customHeight="1">
      <c r="A83" s="22"/>
      <c r="B83" s="25"/>
      <c r="C83" s="55"/>
      <c r="D83" s="55"/>
      <c r="E83" s="43">
        <f>IF(D83=1,C83*50*2,C83*50)</f>
        <v>0</v>
      </c>
      <c r="F83" s="28"/>
    </row>
    <row r="84" ht="15.75" customHeight="1">
      <c r="A84" s="22"/>
      <c r="B84" s="25"/>
      <c r="C84" s="57"/>
      <c r="D84" s="57"/>
      <c r="E84" s="30"/>
    </row>
    <row r="85" ht="15.75" customHeight="1">
      <c r="A85" s="22"/>
      <c r="B85" s="25"/>
      <c r="C85" s="57"/>
      <c r="D85" s="57"/>
      <c r="E85" s="30"/>
    </row>
    <row r="86" ht="15.75" customHeight="1">
      <c r="A86" s="22"/>
      <c r="B86" s="25"/>
      <c r="C86" s="57"/>
      <c r="D86" s="57"/>
      <c r="E86" s="30"/>
    </row>
    <row r="87" ht="15.75" customHeight="1">
      <c r="A87" s="22"/>
      <c r="B87" s="25"/>
      <c r="C87" s="57"/>
      <c r="D87" s="57"/>
      <c r="E87" s="30"/>
    </row>
    <row r="88" ht="15.75" customHeight="1">
      <c r="A88" s="22"/>
      <c r="B88" s="25"/>
      <c r="C88" s="57"/>
      <c r="D88" s="57"/>
      <c r="E88" s="30"/>
    </row>
    <row r="89" ht="15.75" customHeight="1">
      <c r="A89" s="22"/>
      <c r="B89" s="25"/>
      <c r="C89" s="57"/>
      <c r="D89" s="57"/>
      <c r="E89" s="30"/>
    </row>
    <row r="90" ht="15.75" customHeight="1">
      <c r="A90" s="32"/>
      <c r="B90" s="33"/>
      <c r="C90" s="63"/>
      <c r="D90" s="63"/>
      <c r="E90" s="35"/>
    </row>
    <row r="91" ht="15.75" customHeight="1"/>
    <row r="92" ht="15.75" customHeight="1"/>
    <row r="93" ht="15.75" customHeight="1">
      <c r="A93" s="44" t="s">
        <v>21</v>
      </c>
      <c r="B93" s="2"/>
      <c r="C93" s="2"/>
      <c r="D93" s="2"/>
      <c r="E93" s="3"/>
    </row>
    <row r="94" ht="15.75" customHeight="1">
      <c r="A94" s="45"/>
      <c r="E94" s="10"/>
    </row>
    <row r="95" ht="15.75" customHeight="1">
      <c r="A95" s="46" t="s">
        <v>2</v>
      </c>
      <c r="B95" s="47" t="s">
        <v>3</v>
      </c>
      <c r="C95" s="48" t="s">
        <v>22</v>
      </c>
      <c r="D95" s="48" t="s">
        <v>23</v>
      </c>
      <c r="E95" s="49" t="s">
        <v>11</v>
      </c>
      <c r="F95" s="50"/>
    </row>
    <row r="96" ht="15.75" customHeight="1">
      <c r="A96" s="51"/>
      <c r="B96" s="52"/>
      <c r="C96" s="52"/>
      <c r="D96" s="52"/>
      <c r="E96" s="53"/>
    </row>
    <row r="97" ht="18.75" customHeight="1">
      <c r="A97" s="22"/>
      <c r="B97" s="29"/>
      <c r="C97" s="25"/>
      <c r="D97" s="55"/>
      <c r="E97" s="56">
        <f>IF(D97=0,300,D97*-200)</f>
        <v>300</v>
      </c>
      <c r="F97" s="28"/>
    </row>
    <row r="98" ht="15.75" customHeight="1">
      <c r="A98" s="22"/>
      <c r="B98" s="29"/>
      <c r="C98" s="25"/>
      <c r="D98" s="57"/>
      <c r="E98" s="30"/>
    </row>
    <row r="99" ht="15.75" customHeight="1">
      <c r="A99" s="22"/>
      <c r="B99" s="29"/>
      <c r="C99" s="25"/>
      <c r="D99" s="57"/>
      <c r="E99" s="30"/>
    </row>
    <row r="100" ht="15.75" customHeight="1">
      <c r="A100" s="59"/>
      <c r="B100" s="61"/>
      <c r="C100" s="55"/>
      <c r="D100" s="57"/>
      <c r="E100" s="30"/>
    </row>
    <row r="101" ht="15.75" customHeight="1">
      <c r="A101" s="59"/>
      <c r="B101" s="61"/>
      <c r="C101" s="55"/>
      <c r="D101" s="57"/>
      <c r="E101" s="30"/>
    </row>
    <row r="102" ht="15.75" customHeight="1">
      <c r="A102" s="59"/>
      <c r="B102" s="61"/>
      <c r="C102" s="55"/>
      <c r="D102" s="57"/>
      <c r="E102" s="30"/>
    </row>
    <row r="103" ht="15.75" customHeight="1">
      <c r="A103" s="32"/>
      <c r="B103" s="62"/>
      <c r="C103" s="33"/>
      <c r="D103" s="63"/>
      <c r="E103" s="35"/>
    </row>
    <row r="104" ht="15.75" customHeight="1"/>
    <row r="105" ht="15.75" customHeight="1"/>
    <row r="106" ht="15.75" customHeight="1">
      <c r="A106" s="44" t="s">
        <v>29</v>
      </c>
      <c r="B106" s="2"/>
      <c r="C106" s="2"/>
      <c r="D106" s="2"/>
      <c r="E106" s="3"/>
    </row>
    <row r="107" ht="18.0" customHeight="1">
      <c r="A107" s="45"/>
      <c r="E107" s="64"/>
    </row>
    <row r="108" ht="15.75" customHeight="1">
      <c r="A108" s="46" t="s">
        <v>2</v>
      </c>
      <c r="B108" s="47" t="s">
        <v>3</v>
      </c>
      <c r="C108" s="48" t="s">
        <v>30</v>
      </c>
      <c r="D108" s="48" t="s">
        <v>31</v>
      </c>
      <c r="E108" s="49" t="s">
        <v>10</v>
      </c>
      <c r="F108" s="50"/>
    </row>
    <row r="109" ht="15.75" customHeight="1">
      <c r="A109" s="51"/>
      <c r="B109" s="52"/>
      <c r="C109" s="52"/>
      <c r="D109" s="52"/>
      <c r="E109" s="53"/>
    </row>
    <row r="110" ht="15.75" customHeight="1">
      <c r="A110" s="22"/>
      <c r="B110" s="29"/>
      <c r="C110" s="25"/>
      <c r="D110" s="55"/>
      <c r="E110" s="43">
        <f>IF(D110=0,100,D110*-20)</f>
        <v>100</v>
      </c>
    </row>
    <row r="111" ht="15.75" customHeight="1">
      <c r="A111" s="22"/>
      <c r="B111" s="29"/>
      <c r="C111" s="25"/>
      <c r="D111" s="57"/>
      <c r="E111" s="30"/>
    </row>
    <row r="112" ht="15.75" customHeight="1">
      <c r="A112" s="22"/>
      <c r="B112" s="29"/>
      <c r="C112" s="28"/>
      <c r="D112" s="57"/>
      <c r="E112" s="30"/>
    </row>
    <row r="113" ht="15.75" customHeight="1">
      <c r="A113" s="22"/>
      <c r="B113" s="29"/>
      <c r="C113" s="25"/>
      <c r="D113" s="57"/>
      <c r="E113" s="30"/>
    </row>
    <row r="114" ht="15.75" customHeight="1">
      <c r="A114" s="22"/>
      <c r="B114" s="29"/>
      <c r="C114" s="25"/>
      <c r="D114" s="57"/>
      <c r="E114" s="30"/>
    </row>
    <row r="115" ht="15.75" customHeight="1">
      <c r="A115" s="22"/>
      <c r="B115" s="29"/>
      <c r="C115" s="25"/>
      <c r="D115" s="57"/>
      <c r="E115" s="30"/>
    </row>
    <row r="116" ht="15.75" customHeight="1">
      <c r="A116" s="22"/>
      <c r="B116" s="29"/>
      <c r="C116" s="25"/>
      <c r="D116" s="57"/>
      <c r="E116" s="30"/>
    </row>
    <row r="117" ht="15.75" customHeight="1">
      <c r="A117" s="32"/>
      <c r="B117" s="62"/>
      <c r="C117" s="33"/>
      <c r="D117" s="63"/>
      <c r="E117" s="35"/>
    </row>
    <row r="118" ht="15.75" customHeight="1"/>
    <row r="119" ht="15.75" customHeight="1"/>
    <row r="120" ht="15.75" customHeight="1">
      <c r="A120" s="5" t="s">
        <v>33</v>
      </c>
      <c r="B120" s="2"/>
      <c r="C120" s="2"/>
      <c r="D120" s="2"/>
      <c r="E120" s="2"/>
      <c r="F120" s="3"/>
    </row>
    <row r="121" ht="20.25" customHeight="1">
      <c r="A121" s="66"/>
      <c r="B121" s="67"/>
      <c r="C121" s="67"/>
      <c r="D121" s="67"/>
      <c r="E121" s="67"/>
      <c r="F121" s="10"/>
    </row>
    <row r="122" ht="15.75" customHeight="1">
      <c r="A122" s="46" t="s">
        <v>2</v>
      </c>
      <c r="B122" s="47" t="s">
        <v>3</v>
      </c>
      <c r="C122" s="48" t="s">
        <v>34</v>
      </c>
      <c r="D122" s="48" t="s">
        <v>35</v>
      </c>
      <c r="E122" s="47" t="s">
        <v>10</v>
      </c>
      <c r="F122" s="49" t="s">
        <v>11</v>
      </c>
    </row>
    <row r="123" ht="15.75" customHeight="1">
      <c r="A123" s="68"/>
      <c r="B123" s="28"/>
      <c r="C123" s="28"/>
      <c r="D123" s="28"/>
      <c r="E123" s="69"/>
      <c r="F123" s="70"/>
    </row>
    <row r="124" ht="15.75" customHeight="1">
      <c r="A124" s="22"/>
      <c r="B124" s="29"/>
      <c r="C124" s="29"/>
      <c r="D124" s="25"/>
      <c r="E124" s="25">
        <f t="shared" ref="E124:E130" si="6">(D124*100)</f>
        <v>0</v>
      </c>
      <c r="F124" s="43">
        <f>SUM(E124:E130)</f>
        <v>0</v>
      </c>
    </row>
    <row r="125" ht="15.75" customHeight="1">
      <c r="A125" s="22"/>
      <c r="B125" s="29"/>
      <c r="C125" s="29"/>
      <c r="D125" s="25"/>
      <c r="E125" s="25">
        <f t="shared" si="6"/>
        <v>0</v>
      </c>
      <c r="F125" s="30"/>
    </row>
    <row r="126" ht="15.75" customHeight="1">
      <c r="A126" s="22"/>
      <c r="B126" s="29"/>
      <c r="C126" s="29"/>
      <c r="D126" s="25"/>
      <c r="E126" s="25">
        <f t="shared" si="6"/>
        <v>0</v>
      </c>
      <c r="F126" s="30"/>
    </row>
    <row r="127" ht="15.75" customHeight="1">
      <c r="A127" s="22"/>
      <c r="B127" s="29"/>
      <c r="C127" s="29"/>
      <c r="D127" s="25"/>
      <c r="E127" s="25">
        <f t="shared" si="6"/>
        <v>0</v>
      </c>
      <c r="F127" s="30"/>
    </row>
    <row r="128" ht="15.75" customHeight="1">
      <c r="A128" s="22"/>
      <c r="B128" s="29"/>
      <c r="C128" s="29"/>
      <c r="D128" s="25"/>
      <c r="E128" s="25">
        <f t="shared" si="6"/>
        <v>0</v>
      </c>
      <c r="F128" s="30"/>
    </row>
    <row r="129" ht="15.75" customHeight="1">
      <c r="A129" s="22"/>
      <c r="B129" s="29"/>
      <c r="C129" s="29"/>
      <c r="D129" s="25"/>
      <c r="E129" s="25">
        <f t="shared" si="6"/>
        <v>0</v>
      </c>
      <c r="F129" s="30"/>
    </row>
    <row r="130" ht="15.75" customHeight="1">
      <c r="A130" s="32"/>
      <c r="B130" s="62"/>
      <c r="C130" s="62"/>
      <c r="D130" s="33"/>
      <c r="E130" s="33">
        <f t="shared" si="6"/>
        <v>0</v>
      </c>
      <c r="F130" s="35"/>
    </row>
    <row r="131" ht="15.75" customHeight="1">
      <c r="A131" s="28"/>
      <c r="B131" s="71"/>
      <c r="C131" s="71"/>
      <c r="D131" s="28"/>
      <c r="E131" s="28"/>
      <c r="F131" s="28"/>
    </row>
    <row r="132" ht="15.75" customHeight="1"/>
    <row r="133" ht="15.75" customHeight="1">
      <c r="A133" s="5" t="s">
        <v>36</v>
      </c>
      <c r="B133" s="2"/>
      <c r="C133" s="2"/>
      <c r="D133" s="2"/>
      <c r="E133" s="2"/>
      <c r="F133" s="3"/>
    </row>
    <row r="134" ht="18.75" customHeight="1">
      <c r="A134" s="66"/>
      <c r="B134" s="67"/>
      <c r="C134" s="67"/>
      <c r="D134" s="67"/>
      <c r="E134" s="67"/>
      <c r="F134" s="72"/>
    </row>
    <row r="135" ht="15.75" customHeight="1">
      <c r="A135" s="46" t="s">
        <v>2</v>
      </c>
      <c r="B135" s="47" t="s">
        <v>3</v>
      </c>
      <c r="C135" s="48" t="s">
        <v>34</v>
      </c>
      <c r="D135" s="48" t="s">
        <v>37</v>
      </c>
      <c r="E135" s="47" t="s">
        <v>10</v>
      </c>
      <c r="F135" s="73" t="s">
        <v>11</v>
      </c>
    </row>
    <row r="136" ht="15.75" customHeight="1">
      <c r="A136" s="68"/>
      <c r="B136" s="28"/>
      <c r="C136" s="28"/>
      <c r="D136" s="28"/>
      <c r="E136" s="18"/>
      <c r="F136" s="74"/>
    </row>
    <row r="137" ht="15.75" customHeight="1">
      <c r="A137" s="22"/>
      <c r="B137" s="29"/>
      <c r="C137" s="25"/>
      <c r="D137" s="25"/>
      <c r="E137" s="75">
        <f t="shared" ref="E137:E143" si="7">(D137*100)</f>
        <v>0</v>
      </c>
      <c r="F137" s="43">
        <f>SUM(E137:E143)</f>
        <v>0</v>
      </c>
    </row>
    <row r="138" ht="15.75" customHeight="1">
      <c r="A138" s="22"/>
      <c r="B138" s="29"/>
      <c r="C138" s="25"/>
      <c r="D138" s="25"/>
      <c r="E138" s="75">
        <f t="shared" si="7"/>
        <v>0</v>
      </c>
      <c r="F138" s="30"/>
    </row>
    <row r="139" ht="15.75" customHeight="1">
      <c r="A139" s="22"/>
      <c r="B139" s="29"/>
      <c r="C139" s="25"/>
      <c r="D139" s="25"/>
      <c r="E139" s="75">
        <f t="shared" si="7"/>
        <v>0</v>
      </c>
      <c r="F139" s="30"/>
    </row>
    <row r="140" ht="15.75" customHeight="1">
      <c r="A140" s="22"/>
      <c r="B140" s="29"/>
      <c r="C140" s="25"/>
      <c r="D140" s="76"/>
      <c r="E140" s="75">
        <f t="shared" si="7"/>
        <v>0</v>
      </c>
      <c r="F140" s="30"/>
    </row>
    <row r="141" ht="15.75" customHeight="1">
      <c r="A141" s="22"/>
      <c r="B141" s="29"/>
      <c r="C141" s="25"/>
      <c r="D141" s="76"/>
      <c r="E141" s="75">
        <f t="shared" si="7"/>
        <v>0</v>
      </c>
      <c r="F141" s="30"/>
    </row>
    <row r="142" ht="15.75" customHeight="1">
      <c r="A142" s="22"/>
      <c r="B142" s="29"/>
      <c r="C142" s="26"/>
      <c r="D142" s="76"/>
      <c r="E142" s="75">
        <f t="shared" si="7"/>
        <v>0</v>
      </c>
      <c r="F142" s="30"/>
    </row>
    <row r="143" ht="15.75" customHeight="1">
      <c r="A143" s="32"/>
      <c r="B143" s="62"/>
      <c r="C143" s="34"/>
      <c r="D143" s="77"/>
      <c r="E143" s="33">
        <f t="shared" si="7"/>
        <v>0</v>
      </c>
      <c r="F143" s="35"/>
    </row>
    <row r="144" ht="15.75" customHeight="1"/>
    <row r="145" ht="15.75" customHeight="1"/>
    <row r="146" ht="15.75" customHeight="1"/>
    <row r="147" ht="15.75" customHeight="1">
      <c r="A147" s="5" t="s">
        <v>79</v>
      </c>
      <c r="B147" s="2"/>
      <c r="C147" s="2"/>
      <c r="D147" s="2"/>
      <c r="E147" s="2"/>
      <c r="F147" s="2"/>
      <c r="G147" s="3"/>
    </row>
    <row r="148" ht="15.75" customHeight="1">
      <c r="A148" s="7"/>
      <c r="B148" s="8"/>
      <c r="C148" s="8"/>
      <c r="D148" s="8"/>
      <c r="E148" s="8"/>
      <c r="F148" s="8"/>
      <c r="G148" s="37"/>
    </row>
    <row r="149" ht="15.75" customHeight="1">
      <c r="A149" s="11" t="s">
        <v>2</v>
      </c>
      <c r="B149" s="12" t="s">
        <v>3</v>
      </c>
      <c r="C149" s="13" t="s">
        <v>45</v>
      </c>
      <c r="D149" s="13" t="s">
        <v>105</v>
      </c>
      <c r="E149" s="13" t="s">
        <v>81</v>
      </c>
      <c r="F149" s="13" t="s">
        <v>10</v>
      </c>
      <c r="G149" s="15" t="s">
        <v>11</v>
      </c>
    </row>
    <row r="150" ht="15.75" customHeight="1">
      <c r="A150" s="38"/>
      <c r="B150" s="39"/>
      <c r="C150" s="40"/>
      <c r="D150" s="40"/>
      <c r="E150" s="40"/>
      <c r="F150" s="40"/>
      <c r="G150" s="41"/>
    </row>
    <row r="151" ht="15.75" customHeight="1">
      <c r="A151" s="22"/>
      <c r="B151" s="25"/>
      <c r="C151" s="25"/>
      <c r="D151" s="25"/>
      <c r="E151" s="25"/>
      <c r="F151" s="55">
        <f>SUM(E151:E158)</f>
        <v>0</v>
      </c>
      <c r="G151" s="43">
        <f>F151/10000*100</f>
        <v>0</v>
      </c>
    </row>
    <row r="152" ht="15.75" customHeight="1">
      <c r="A152" s="22"/>
      <c r="B152" s="25"/>
      <c r="C152" s="25"/>
      <c r="D152" s="25"/>
      <c r="E152" s="25"/>
      <c r="F152" s="57"/>
      <c r="G152" s="30"/>
    </row>
    <row r="153" ht="15.75" customHeight="1">
      <c r="A153" s="22"/>
      <c r="B153" s="25"/>
      <c r="C153" s="25"/>
      <c r="D153" s="25"/>
      <c r="E153" s="25"/>
      <c r="F153" s="57"/>
      <c r="G153" s="30"/>
    </row>
    <row r="154" ht="15.75" customHeight="1">
      <c r="A154" s="22"/>
      <c r="B154" s="25"/>
      <c r="C154" s="25"/>
      <c r="D154" s="25"/>
      <c r="E154" s="25"/>
      <c r="F154" s="57"/>
      <c r="G154" s="30"/>
    </row>
    <row r="155" ht="15.75" customHeight="1">
      <c r="A155" s="22"/>
      <c r="B155" s="25"/>
      <c r="C155" s="25"/>
      <c r="D155" s="25"/>
      <c r="E155" s="25"/>
      <c r="F155" s="57"/>
      <c r="G155" s="30"/>
    </row>
    <row r="156" ht="15.75" customHeight="1">
      <c r="A156" s="22"/>
      <c r="B156" s="25"/>
      <c r="C156" s="25"/>
      <c r="D156" s="25"/>
      <c r="E156" s="25"/>
      <c r="F156" s="57"/>
      <c r="G156" s="30"/>
    </row>
    <row r="157" ht="15.75" customHeight="1">
      <c r="A157" s="22"/>
      <c r="B157" s="25"/>
      <c r="C157" s="25"/>
      <c r="D157" s="25"/>
      <c r="E157" s="25"/>
      <c r="F157" s="57"/>
      <c r="G157" s="30"/>
    </row>
    <row r="158" ht="15.75" customHeight="1">
      <c r="A158" s="32"/>
      <c r="B158" s="33"/>
      <c r="C158" s="33"/>
      <c r="D158" s="33"/>
      <c r="E158" s="33"/>
      <c r="F158" s="63"/>
      <c r="G158" s="35"/>
    </row>
    <row r="159" ht="15.75" customHeight="1"/>
    <row r="160" ht="15.75" customHeight="1"/>
    <row r="161" ht="15.75" customHeight="1"/>
    <row r="162" ht="15.75" customHeight="1">
      <c r="A162" s="5" t="s">
        <v>82</v>
      </c>
      <c r="B162" s="2"/>
      <c r="C162" s="2"/>
      <c r="D162" s="2"/>
      <c r="E162" s="2"/>
      <c r="F162" s="2"/>
      <c r="G162" s="3"/>
    </row>
    <row r="163" ht="15.75" customHeight="1">
      <c r="A163" s="7"/>
      <c r="B163" s="8"/>
      <c r="C163" s="8"/>
      <c r="D163" s="8"/>
      <c r="E163" s="8"/>
      <c r="F163" s="8"/>
      <c r="G163" s="37"/>
    </row>
    <row r="164" ht="15.75" customHeight="1">
      <c r="A164" s="11" t="s">
        <v>2</v>
      </c>
      <c r="B164" s="12" t="s">
        <v>3</v>
      </c>
      <c r="C164" s="13" t="s">
        <v>83</v>
      </c>
      <c r="D164" s="13" t="s">
        <v>84</v>
      </c>
      <c r="E164" s="13" t="s">
        <v>85</v>
      </c>
      <c r="F164" s="13" t="s">
        <v>10</v>
      </c>
      <c r="G164" s="15" t="s">
        <v>11</v>
      </c>
    </row>
    <row r="165" ht="15.75" customHeight="1">
      <c r="A165" s="38"/>
      <c r="B165" s="39"/>
      <c r="C165" s="40"/>
      <c r="D165" s="19"/>
      <c r="E165" s="40"/>
      <c r="F165" s="40"/>
      <c r="G165" s="41"/>
    </row>
    <row r="166" ht="15.75" customHeight="1">
      <c r="A166" s="22"/>
      <c r="B166" s="25"/>
      <c r="C166" s="25"/>
      <c r="D166" s="25"/>
      <c r="E166" s="25"/>
      <c r="F166" s="25">
        <f t="shared" ref="F166:F173" si="8">SUM(D166*100)</f>
        <v>0</v>
      </c>
      <c r="G166" s="43">
        <f>SUM(F166:F173)</f>
        <v>0</v>
      </c>
    </row>
    <row r="167" ht="15.75" customHeight="1">
      <c r="A167" s="22"/>
      <c r="B167" s="25"/>
      <c r="C167" s="25"/>
      <c r="D167" s="25"/>
      <c r="E167" s="25"/>
      <c r="F167" s="25">
        <f t="shared" si="8"/>
        <v>0</v>
      </c>
      <c r="G167" s="30"/>
    </row>
    <row r="168" ht="15.75" customHeight="1">
      <c r="A168" s="22"/>
      <c r="B168" s="25"/>
      <c r="C168" s="25"/>
      <c r="D168" s="25"/>
      <c r="E168" s="25"/>
      <c r="F168" s="25">
        <f t="shared" si="8"/>
        <v>0</v>
      </c>
      <c r="G168" s="30"/>
    </row>
    <row r="169" ht="15.75" customHeight="1">
      <c r="A169" s="22"/>
      <c r="B169" s="25"/>
      <c r="C169" s="25"/>
      <c r="D169" s="25"/>
      <c r="E169" s="25"/>
      <c r="F169" s="25">
        <f t="shared" si="8"/>
        <v>0</v>
      </c>
      <c r="G169" s="30"/>
    </row>
    <row r="170" ht="15.75" customHeight="1">
      <c r="A170" s="22"/>
      <c r="B170" s="25"/>
      <c r="C170" s="25"/>
      <c r="D170" s="25"/>
      <c r="E170" s="25"/>
      <c r="F170" s="25">
        <f t="shared" si="8"/>
        <v>0</v>
      </c>
      <c r="G170" s="30"/>
    </row>
    <row r="171" ht="15.75" customHeight="1">
      <c r="A171" s="22"/>
      <c r="B171" s="25"/>
      <c r="C171" s="25"/>
      <c r="D171" s="25"/>
      <c r="E171" s="25"/>
      <c r="F171" s="25">
        <f t="shared" si="8"/>
        <v>0</v>
      </c>
      <c r="G171" s="30"/>
    </row>
    <row r="172" ht="15.75" customHeight="1">
      <c r="A172" s="22"/>
      <c r="B172" s="25"/>
      <c r="C172" s="25"/>
      <c r="D172" s="25"/>
      <c r="E172" s="25"/>
      <c r="F172" s="25">
        <f t="shared" si="8"/>
        <v>0</v>
      </c>
      <c r="G172" s="30"/>
    </row>
    <row r="173" ht="15.75" customHeight="1">
      <c r="A173" s="32"/>
      <c r="B173" s="33"/>
      <c r="C173" s="33"/>
      <c r="D173" s="33"/>
      <c r="E173" s="33"/>
      <c r="F173" s="33">
        <f t="shared" si="8"/>
        <v>0</v>
      </c>
      <c r="G173" s="35"/>
    </row>
    <row r="174" ht="15.75" customHeight="1"/>
    <row r="175" ht="15.75" customHeight="1"/>
    <row r="176" ht="15.75" customHeight="1">
      <c r="A176" s="5" t="s">
        <v>86</v>
      </c>
      <c r="B176" s="2"/>
      <c r="C176" s="2"/>
      <c r="D176" s="2"/>
      <c r="E176" s="2"/>
      <c r="F176" s="3"/>
    </row>
    <row r="177" ht="15.75" customHeight="1">
      <c r="A177" s="110"/>
      <c r="B177" s="111"/>
      <c r="C177" s="111"/>
      <c r="D177" s="111"/>
      <c r="E177" s="112"/>
      <c r="F177" s="113"/>
    </row>
    <row r="178" ht="15.75" customHeight="1">
      <c r="A178" s="46" t="s">
        <v>2</v>
      </c>
      <c r="B178" s="48" t="s">
        <v>87</v>
      </c>
      <c r="C178" s="48" t="s">
        <v>34</v>
      </c>
      <c r="D178" s="103" t="s">
        <v>88</v>
      </c>
      <c r="E178" s="114" t="s">
        <v>10</v>
      </c>
      <c r="F178" s="49" t="s">
        <v>11</v>
      </c>
      <c r="G178" s="50"/>
    </row>
    <row r="179" ht="15.75" customHeight="1">
      <c r="A179" s="51"/>
      <c r="B179" s="52"/>
      <c r="C179" s="52"/>
      <c r="D179" s="52"/>
      <c r="E179" s="52"/>
      <c r="F179" s="53"/>
    </row>
    <row r="180" ht="15.75" customHeight="1">
      <c r="A180" s="22"/>
      <c r="B180" s="29"/>
      <c r="C180" s="25"/>
      <c r="D180" s="55"/>
      <c r="E180" s="101">
        <f>SUM(D180*100)</f>
        <v>0</v>
      </c>
      <c r="F180" s="43">
        <f>SUM(E180:E186)</f>
        <v>0</v>
      </c>
      <c r="G180" s="115"/>
    </row>
    <row r="181" ht="15.75" customHeight="1">
      <c r="A181" s="22"/>
      <c r="B181" s="29"/>
      <c r="C181" s="25"/>
      <c r="D181" s="57"/>
      <c r="E181" s="57"/>
      <c r="F181" s="30"/>
    </row>
    <row r="182" ht="15.75" customHeight="1">
      <c r="A182" s="22"/>
      <c r="B182" s="29"/>
      <c r="C182" s="25"/>
      <c r="D182" s="57"/>
      <c r="E182" s="57"/>
      <c r="F182" s="30"/>
    </row>
    <row r="183" ht="15.75" customHeight="1">
      <c r="A183" s="22"/>
      <c r="B183" s="29"/>
      <c r="C183" s="25"/>
      <c r="D183" s="57"/>
      <c r="E183" s="57"/>
      <c r="F183" s="30"/>
    </row>
    <row r="184" ht="15.75" customHeight="1">
      <c r="A184" s="22"/>
      <c r="B184" s="29"/>
      <c r="C184" s="25"/>
      <c r="D184" s="57"/>
      <c r="E184" s="57"/>
      <c r="F184" s="30"/>
    </row>
    <row r="185" ht="15.75" customHeight="1">
      <c r="A185" s="22"/>
      <c r="B185" s="29"/>
      <c r="C185" s="25"/>
      <c r="D185" s="57"/>
      <c r="E185" s="57"/>
      <c r="F185" s="30"/>
    </row>
    <row r="186" ht="15.75" customHeight="1">
      <c r="A186" s="32"/>
      <c r="B186" s="62"/>
      <c r="C186" s="33"/>
      <c r="D186" s="63"/>
      <c r="E186" s="63"/>
      <c r="F186" s="35"/>
    </row>
    <row r="187" ht="15.75" customHeight="1"/>
    <row r="188" ht="15.75" customHeight="1"/>
    <row r="189" ht="15.75" customHeight="1">
      <c r="A189" s="5" t="s">
        <v>38</v>
      </c>
      <c r="B189" s="2"/>
      <c r="C189" s="2"/>
      <c r="D189" s="3"/>
    </row>
    <row r="190" ht="15.75" customHeight="1">
      <c r="A190" s="45"/>
      <c r="D190" s="64"/>
    </row>
    <row r="191" ht="15.75" customHeight="1">
      <c r="A191" s="78" t="s">
        <v>39</v>
      </c>
      <c r="B191" s="47" t="s">
        <v>3</v>
      </c>
      <c r="C191" s="48" t="s">
        <v>40</v>
      </c>
      <c r="D191" s="49" t="s">
        <v>10</v>
      </c>
    </row>
    <row r="192" ht="15.75" customHeight="1">
      <c r="A192" s="68"/>
      <c r="B192" s="28"/>
      <c r="C192" s="28"/>
      <c r="D192" s="70"/>
    </row>
    <row r="193" ht="15.75" customHeight="1">
      <c r="A193" s="32">
        <v>1.0</v>
      </c>
      <c r="B193" s="33"/>
      <c r="C193" s="33"/>
      <c r="D193" s="81">
        <f>C193*200</f>
        <v>0</v>
      </c>
    </row>
    <row r="194" ht="15.75" customHeight="1">
      <c r="A194" s="8"/>
      <c r="B194" s="8"/>
      <c r="C194" s="8"/>
      <c r="D194" s="8"/>
    </row>
    <row r="195" ht="15.75" customHeight="1"/>
    <row r="196" ht="15.75" customHeight="1"/>
    <row r="197" ht="15.75" customHeight="1">
      <c r="A197" s="44" t="s">
        <v>89</v>
      </c>
      <c r="B197" s="2"/>
      <c r="C197" s="2"/>
      <c r="D197" s="2"/>
      <c r="E197" s="2"/>
      <c r="F197" s="2"/>
      <c r="G197" s="2"/>
      <c r="H197" s="3"/>
    </row>
    <row r="198" ht="15.75" customHeight="1">
      <c r="H198" s="83"/>
    </row>
    <row r="199" ht="15.75" customHeight="1">
      <c r="A199" s="84" t="s">
        <v>90</v>
      </c>
      <c r="B199" s="117" t="s">
        <v>3</v>
      </c>
      <c r="C199" s="85" t="s">
        <v>42</v>
      </c>
      <c r="D199" s="85" t="s">
        <v>110</v>
      </c>
      <c r="E199" s="86" t="s">
        <v>111</v>
      </c>
      <c r="F199" s="85" t="s">
        <v>93</v>
      </c>
      <c r="G199" s="118" t="s">
        <v>10</v>
      </c>
      <c r="H199" s="87" t="s">
        <v>11</v>
      </c>
    </row>
    <row r="200" ht="15.75" customHeight="1">
      <c r="A200" s="119"/>
      <c r="G200" s="120"/>
      <c r="H200" s="74"/>
    </row>
    <row r="201" ht="15.75" customHeight="1">
      <c r="A201" s="22"/>
      <c r="B201" s="75"/>
      <c r="C201" s="25"/>
      <c r="D201" s="25"/>
      <c r="E201" s="25"/>
      <c r="F201" s="25"/>
      <c r="G201" s="25">
        <f t="shared" ref="G201:G205" si="9">SUM(D201+E201)*100</f>
        <v>0</v>
      </c>
      <c r="H201" s="121">
        <f>SUM(G201,G202,G203,G204,G205)</f>
        <v>0</v>
      </c>
    </row>
    <row r="202" ht="15.75" customHeight="1">
      <c r="A202" s="22"/>
      <c r="B202" s="75"/>
      <c r="C202" s="25"/>
      <c r="D202" s="25"/>
      <c r="E202" s="25"/>
      <c r="F202" s="25"/>
      <c r="G202" s="25">
        <f t="shared" si="9"/>
        <v>0</v>
      </c>
      <c r="H202" s="122"/>
    </row>
    <row r="203" ht="15.75" customHeight="1">
      <c r="A203" s="22"/>
      <c r="B203" s="75"/>
      <c r="C203" s="25"/>
      <c r="D203" s="25"/>
      <c r="E203" s="25"/>
      <c r="F203" s="25"/>
      <c r="G203" s="25">
        <f t="shared" si="9"/>
        <v>0</v>
      </c>
      <c r="H203" s="122"/>
    </row>
    <row r="204" ht="15.75" customHeight="1">
      <c r="A204" s="22"/>
      <c r="B204" s="75"/>
      <c r="C204" s="25"/>
      <c r="D204" s="25"/>
      <c r="E204" s="25"/>
      <c r="F204" s="25"/>
      <c r="G204" s="25">
        <f t="shared" si="9"/>
        <v>0</v>
      </c>
      <c r="H204" s="122"/>
    </row>
    <row r="205" ht="15.75" customHeight="1">
      <c r="A205" s="32"/>
      <c r="B205" s="123"/>
      <c r="C205" s="33"/>
      <c r="D205" s="33"/>
      <c r="E205" s="33"/>
      <c r="F205" s="33"/>
      <c r="G205" s="33">
        <f t="shared" si="9"/>
        <v>0</v>
      </c>
      <c r="H205" s="124"/>
    </row>
    <row r="206" ht="15.75" customHeight="1">
      <c r="A206" s="28"/>
      <c r="B206" s="28"/>
      <c r="C206" s="28"/>
      <c r="D206" s="28"/>
      <c r="E206" s="28"/>
      <c r="F206" s="28"/>
      <c r="G206" s="28"/>
    </row>
    <row r="207" ht="15.75" customHeight="1"/>
    <row r="208" ht="15.75" customHeight="1">
      <c r="A208" s="44" t="s">
        <v>41</v>
      </c>
      <c r="B208" s="2"/>
      <c r="C208" s="2"/>
      <c r="D208" s="2"/>
      <c r="E208" s="3"/>
    </row>
    <row r="209" ht="15.75" customHeight="1">
      <c r="E209" s="83"/>
    </row>
    <row r="210" ht="15.75" customHeight="1">
      <c r="A210" s="84" t="s">
        <v>39</v>
      </c>
      <c r="B210" s="85" t="s">
        <v>3</v>
      </c>
      <c r="C210" s="85" t="s">
        <v>42</v>
      </c>
      <c r="D210" s="86" t="s">
        <v>43</v>
      </c>
      <c r="E210" s="87" t="s">
        <v>11</v>
      </c>
    </row>
    <row r="211" ht="15.75" customHeight="1">
      <c r="A211" s="45"/>
      <c r="E211" s="64"/>
    </row>
    <row r="212" ht="15.75" customHeight="1">
      <c r="A212" s="88">
        <v>1.0</v>
      </c>
      <c r="B212" s="90"/>
      <c r="C212" s="90"/>
      <c r="D212" s="90"/>
      <c r="E212" s="56">
        <f>D212*200</f>
        <v>0</v>
      </c>
    </row>
    <row r="213" ht="15.75" customHeight="1">
      <c r="A213" s="91"/>
      <c r="B213" s="92"/>
      <c r="C213" s="92"/>
      <c r="D213" s="92"/>
      <c r="E213" s="35"/>
    </row>
    <row r="214" ht="15.75" customHeight="1">
      <c r="A214" s="52"/>
      <c r="B214" s="52"/>
      <c r="C214" s="52"/>
      <c r="D214" s="52"/>
      <c r="E214" s="52"/>
    </row>
    <row r="215" ht="15.75" customHeight="1"/>
    <row r="216" ht="15.75" customHeight="1">
      <c r="A216" s="44" t="s">
        <v>94</v>
      </c>
      <c r="B216" s="2"/>
      <c r="C216" s="2"/>
      <c r="D216" s="2"/>
      <c r="E216" s="2"/>
      <c r="F216" s="3"/>
    </row>
    <row r="217" ht="15.75" customHeight="1">
      <c r="F217" s="72"/>
    </row>
    <row r="218" ht="15.75" customHeight="1">
      <c r="A218" s="78" t="s">
        <v>39</v>
      </c>
      <c r="B218" s="47" t="s">
        <v>3</v>
      </c>
      <c r="C218" s="48" t="s">
        <v>45</v>
      </c>
      <c r="D218" s="48" t="s">
        <v>95</v>
      </c>
      <c r="E218" s="47" t="s">
        <v>10</v>
      </c>
      <c r="F218" s="49" t="s">
        <v>11</v>
      </c>
    </row>
    <row r="219" ht="15.75" customHeight="1">
      <c r="A219" s="45"/>
      <c r="F219" s="64"/>
    </row>
    <row r="220" ht="15.75" customHeight="1">
      <c r="A220" s="88">
        <v>1.0</v>
      </c>
      <c r="B220" s="90"/>
      <c r="C220" s="90"/>
      <c r="D220" s="90"/>
      <c r="E220" s="90">
        <f t="shared" ref="E220:E225" si="10">D220*50</f>
        <v>0</v>
      </c>
      <c r="F220" s="56">
        <f>SUM(E220,E221,E222,E223,E224,E225)</f>
        <v>0</v>
      </c>
    </row>
    <row r="221" ht="15.75" customHeight="1">
      <c r="A221" s="88">
        <v>2.0</v>
      </c>
      <c r="B221" s="90"/>
      <c r="C221" s="90"/>
      <c r="D221" s="90"/>
      <c r="E221" s="90">
        <f t="shared" si="10"/>
        <v>0</v>
      </c>
      <c r="F221" s="30"/>
    </row>
    <row r="222" ht="15.75" customHeight="1">
      <c r="A222" s="88">
        <v>3.0</v>
      </c>
      <c r="B222" s="90"/>
      <c r="C222" s="90"/>
      <c r="D222" s="90"/>
      <c r="E222" s="90">
        <f t="shared" si="10"/>
        <v>0</v>
      </c>
      <c r="F222" s="30"/>
    </row>
    <row r="223" ht="15.75" customHeight="1">
      <c r="A223" s="88">
        <v>4.0</v>
      </c>
      <c r="B223" s="90"/>
      <c r="C223" s="90"/>
      <c r="D223" s="90"/>
      <c r="E223" s="90">
        <f t="shared" si="10"/>
        <v>0</v>
      </c>
      <c r="F223" s="30"/>
    </row>
    <row r="224" ht="15.75" customHeight="1">
      <c r="A224" s="88">
        <v>5.0</v>
      </c>
      <c r="B224" s="90"/>
      <c r="C224" s="90"/>
      <c r="D224" s="90"/>
      <c r="E224" s="90">
        <f t="shared" si="10"/>
        <v>0</v>
      </c>
      <c r="F224" s="30"/>
    </row>
    <row r="225" ht="15.75" customHeight="1">
      <c r="A225" s="91"/>
      <c r="B225" s="92"/>
      <c r="C225" s="92"/>
      <c r="D225" s="92"/>
      <c r="E225" s="92">
        <f t="shared" si="10"/>
        <v>0</v>
      </c>
      <c r="F225" s="35"/>
    </row>
    <row r="226" ht="15.75" customHeight="1"/>
    <row r="227" ht="15.75" customHeight="1"/>
    <row r="228" ht="15.75" customHeight="1">
      <c r="A228" s="44" t="s">
        <v>44</v>
      </c>
      <c r="B228" s="2"/>
      <c r="C228" s="2"/>
      <c r="D228" s="2"/>
      <c r="E228" s="2"/>
      <c r="F228" s="3"/>
    </row>
    <row r="229" ht="15.75" customHeight="1">
      <c r="F229" s="83"/>
    </row>
    <row r="230" ht="15.75" customHeight="1">
      <c r="A230" s="84" t="s">
        <v>39</v>
      </c>
      <c r="B230" s="85" t="s">
        <v>3</v>
      </c>
      <c r="C230" s="86" t="s">
        <v>45</v>
      </c>
      <c r="D230" s="86" t="s">
        <v>46</v>
      </c>
      <c r="E230" s="85" t="s">
        <v>10</v>
      </c>
      <c r="F230" s="87" t="s">
        <v>11</v>
      </c>
    </row>
    <row r="231" ht="15.75" customHeight="1">
      <c r="A231" s="68"/>
      <c r="B231" s="28"/>
      <c r="C231" s="28"/>
      <c r="D231" s="28"/>
      <c r="E231" s="28"/>
      <c r="F231" s="70"/>
    </row>
    <row r="232" ht="15.75" customHeight="1">
      <c r="A232" s="22">
        <v>1.0</v>
      </c>
      <c r="B232" s="25"/>
      <c r="C232" s="25"/>
      <c r="D232" s="25"/>
      <c r="E232" s="25">
        <f t="shared" ref="E232:E237" si="11">D232*50</f>
        <v>0</v>
      </c>
      <c r="F232" s="43">
        <f>SUM(E232,E233,E234,E235,E236,E237)</f>
        <v>0</v>
      </c>
    </row>
    <row r="233" ht="15.75" customHeight="1">
      <c r="A233" s="22">
        <v>2.0</v>
      </c>
      <c r="B233" s="25"/>
      <c r="C233" s="25"/>
      <c r="D233" s="25"/>
      <c r="E233" s="25">
        <f t="shared" si="11"/>
        <v>0</v>
      </c>
      <c r="F233" s="30"/>
    </row>
    <row r="234" ht="15.75" customHeight="1">
      <c r="A234" s="22">
        <v>3.0</v>
      </c>
      <c r="B234" s="25"/>
      <c r="C234" s="25"/>
      <c r="D234" s="25"/>
      <c r="E234" s="25">
        <f t="shared" si="11"/>
        <v>0</v>
      </c>
      <c r="F234" s="30"/>
    </row>
    <row r="235" ht="15.75" customHeight="1">
      <c r="A235" s="22">
        <v>4.0</v>
      </c>
      <c r="B235" s="25"/>
      <c r="C235" s="25"/>
      <c r="D235" s="25"/>
      <c r="E235" s="25">
        <f t="shared" si="11"/>
        <v>0</v>
      </c>
      <c r="F235" s="30"/>
    </row>
    <row r="236" ht="15.75" customHeight="1">
      <c r="A236" s="22">
        <v>5.0</v>
      </c>
      <c r="B236" s="25"/>
      <c r="C236" s="25"/>
      <c r="D236" s="25"/>
      <c r="E236" s="25">
        <f t="shared" si="11"/>
        <v>0</v>
      </c>
      <c r="F236" s="30"/>
    </row>
    <row r="237" ht="15.75" customHeight="1">
      <c r="A237" s="32">
        <v>6.0</v>
      </c>
      <c r="B237" s="33"/>
      <c r="C237" s="33"/>
      <c r="D237" s="33"/>
      <c r="E237" s="33">
        <f t="shared" si="11"/>
        <v>0</v>
      </c>
      <c r="F237" s="3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>
      <c r="A245" s="44" t="s">
        <v>114</v>
      </c>
      <c r="B245" s="2"/>
      <c r="C245" s="3"/>
    </row>
    <row r="246" ht="15.75" customHeight="1">
      <c r="A246" s="45"/>
      <c r="C246" s="64"/>
    </row>
    <row r="247" ht="15.75" customHeight="1">
      <c r="A247" s="46" t="s">
        <v>2</v>
      </c>
      <c r="B247" s="48" t="s">
        <v>50</v>
      </c>
      <c r="C247" s="94" t="s">
        <v>51</v>
      </c>
    </row>
    <row r="248" ht="15.75" customHeight="1">
      <c r="A248" s="38"/>
      <c r="B248" s="40"/>
      <c r="C248" s="41"/>
    </row>
    <row r="249" ht="15.75" customHeight="1">
      <c r="A249" s="22">
        <v>1.0</v>
      </c>
      <c r="B249" s="25" t="s">
        <v>52</v>
      </c>
      <c r="C249" s="95">
        <f>J8</f>
        <v>0</v>
      </c>
    </row>
    <row r="250" ht="15.75" customHeight="1">
      <c r="A250" s="22">
        <v>2.0</v>
      </c>
      <c r="B250" s="25" t="s">
        <v>53</v>
      </c>
      <c r="C250" s="95">
        <f>F22</f>
        <v>0</v>
      </c>
    </row>
    <row r="251" ht="15.75" customHeight="1">
      <c r="A251" s="22">
        <v>3.0</v>
      </c>
      <c r="B251" s="25" t="s">
        <v>97</v>
      </c>
      <c r="C251" s="95">
        <f>H36</f>
        <v>0</v>
      </c>
    </row>
    <row r="252" ht="15.75" customHeight="1">
      <c r="A252" s="22">
        <v>4.0</v>
      </c>
      <c r="B252" s="25" t="s">
        <v>68</v>
      </c>
      <c r="C252" s="95">
        <f>H50</f>
        <v>0</v>
      </c>
    </row>
    <row r="253" ht="15.75" customHeight="1">
      <c r="A253" s="22">
        <v>5.0</v>
      </c>
      <c r="B253" s="25" t="s">
        <v>98</v>
      </c>
      <c r="C253" s="95">
        <f>G69</f>
        <v>0</v>
      </c>
    </row>
    <row r="254" ht="15.75" customHeight="1">
      <c r="A254" s="22">
        <v>6.0</v>
      </c>
      <c r="B254" s="25" t="s">
        <v>99</v>
      </c>
      <c r="C254" s="95">
        <f>E83</f>
        <v>0</v>
      </c>
    </row>
    <row r="255" ht="15.75" customHeight="1">
      <c r="A255" s="22">
        <v>7.0</v>
      </c>
      <c r="B255" s="25" t="s">
        <v>54</v>
      </c>
      <c r="C255" s="95">
        <f>E97</f>
        <v>300</v>
      </c>
    </row>
    <row r="256" ht="15.75" customHeight="1">
      <c r="A256" s="22">
        <v>8.0</v>
      </c>
      <c r="B256" s="96" t="s">
        <v>55</v>
      </c>
      <c r="C256" s="95">
        <f>E110</f>
        <v>100</v>
      </c>
    </row>
    <row r="257" ht="15.75" customHeight="1">
      <c r="A257" s="22">
        <v>9.0</v>
      </c>
      <c r="B257" s="96" t="s">
        <v>56</v>
      </c>
      <c r="C257" s="95">
        <f>F124</f>
        <v>0</v>
      </c>
    </row>
    <row r="258" ht="15.75" customHeight="1">
      <c r="A258" s="22">
        <v>10.0</v>
      </c>
      <c r="B258" s="96" t="s">
        <v>57</v>
      </c>
      <c r="C258" s="95">
        <f>F137</f>
        <v>0</v>
      </c>
    </row>
    <row r="259" ht="15.75" customHeight="1">
      <c r="A259" s="22">
        <v>12.0</v>
      </c>
      <c r="B259" s="96" t="s">
        <v>100</v>
      </c>
      <c r="C259" s="95">
        <f>G151</f>
        <v>0</v>
      </c>
    </row>
    <row r="260" ht="15.75" customHeight="1">
      <c r="A260" s="22">
        <v>13.0</v>
      </c>
      <c r="B260" s="96" t="s">
        <v>101</v>
      </c>
      <c r="C260" s="95">
        <f>G166</f>
        <v>0</v>
      </c>
    </row>
    <row r="261" ht="15.75" customHeight="1">
      <c r="A261" s="22">
        <v>14.0</v>
      </c>
      <c r="B261" s="96" t="s">
        <v>102</v>
      </c>
      <c r="C261" s="95">
        <f>F180</f>
        <v>0</v>
      </c>
    </row>
    <row r="262" ht="15.75" customHeight="1">
      <c r="A262" s="22">
        <v>15.0</v>
      </c>
      <c r="B262" s="96" t="s">
        <v>58</v>
      </c>
      <c r="C262" s="95">
        <f>D193</f>
        <v>0</v>
      </c>
    </row>
    <row r="263" ht="15.75" customHeight="1">
      <c r="A263" s="22">
        <v>16.0</v>
      </c>
      <c r="B263" s="96" t="s">
        <v>103</v>
      </c>
      <c r="C263" s="95">
        <f>H201</f>
        <v>0</v>
      </c>
    </row>
    <row r="264" ht="15.75" customHeight="1">
      <c r="A264" s="22">
        <v>17.0</v>
      </c>
      <c r="B264" s="96" t="s">
        <v>59</v>
      </c>
      <c r="C264" s="95">
        <f>E212</f>
        <v>0</v>
      </c>
    </row>
    <row r="265" ht="15.75" customHeight="1">
      <c r="A265" s="22">
        <v>18.0</v>
      </c>
      <c r="B265" s="96" t="s">
        <v>104</v>
      </c>
      <c r="C265" s="95">
        <f>F220</f>
        <v>0</v>
      </c>
    </row>
    <row r="266" ht="15.75" customHeight="1">
      <c r="A266" s="22">
        <v>19.0</v>
      </c>
      <c r="B266" s="96" t="s">
        <v>60</v>
      </c>
      <c r="C266" s="95">
        <f>F232</f>
        <v>0</v>
      </c>
    </row>
    <row r="267" ht="15.75" customHeight="1">
      <c r="A267" s="22">
        <v>20.0</v>
      </c>
      <c r="B267" s="96" t="s">
        <v>61</v>
      </c>
      <c r="C267" s="95"/>
    </row>
    <row r="268" ht="15.75" customHeight="1">
      <c r="A268" s="22"/>
      <c r="B268" s="25"/>
      <c r="C268" s="95"/>
    </row>
    <row r="269" ht="15.75" customHeight="1">
      <c r="A269" s="97" t="s">
        <v>62</v>
      </c>
      <c r="B269" s="98"/>
      <c r="C269" s="99">
        <f>SUM(C249:C267)</f>
        <v>400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H36:H43"/>
    <mergeCell ref="I50:I62"/>
    <mergeCell ref="G69:G76"/>
    <mergeCell ref="A1:J1"/>
    <mergeCell ref="A4:J4"/>
    <mergeCell ref="J8:J15"/>
    <mergeCell ref="A18:F18"/>
    <mergeCell ref="F22:F29"/>
    <mergeCell ref="A32:H32"/>
    <mergeCell ref="A46:I46"/>
    <mergeCell ref="A65:G65"/>
    <mergeCell ref="A79:E79"/>
    <mergeCell ref="C83:C90"/>
    <mergeCell ref="D83:D90"/>
    <mergeCell ref="E83:E90"/>
    <mergeCell ref="F83:F90"/>
    <mergeCell ref="A93:E93"/>
    <mergeCell ref="D97:D103"/>
    <mergeCell ref="E97:E103"/>
    <mergeCell ref="F97:F103"/>
    <mergeCell ref="A106:E106"/>
    <mergeCell ref="D110:D117"/>
    <mergeCell ref="E110:E117"/>
    <mergeCell ref="A120:F120"/>
    <mergeCell ref="F124:F130"/>
    <mergeCell ref="A133:F133"/>
    <mergeCell ref="F137:F143"/>
    <mergeCell ref="A147:G147"/>
    <mergeCell ref="F151:F158"/>
    <mergeCell ref="G151:G158"/>
    <mergeCell ref="A162:G162"/>
    <mergeCell ref="G180:G186"/>
    <mergeCell ref="H201:H205"/>
    <mergeCell ref="A208:E208"/>
    <mergeCell ref="E212:E213"/>
    <mergeCell ref="A216:F216"/>
    <mergeCell ref="F220:F225"/>
    <mergeCell ref="A228:F228"/>
    <mergeCell ref="F232:F237"/>
    <mergeCell ref="A245:C245"/>
    <mergeCell ref="A269:B269"/>
    <mergeCell ref="G166:G173"/>
    <mergeCell ref="A176:F176"/>
    <mergeCell ref="D180:D186"/>
    <mergeCell ref="E180:E186"/>
    <mergeCell ref="F180:F186"/>
    <mergeCell ref="A189:D189"/>
    <mergeCell ref="A197:H19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22.71"/>
    <col customWidth="1" min="6" max="6" width="18.43"/>
    <col customWidth="1" min="7" max="7" width="15.0"/>
    <col customWidth="1" min="8" max="26" width="8.86"/>
  </cols>
  <sheetData>
    <row r="3">
      <c r="B3" s="127" t="s">
        <v>115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6">
      <c r="E6" s="128" t="s">
        <v>116</v>
      </c>
      <c r="F6" s="129" t="s">
        <v>117</v>
      </c>
      <c r="G6" s="130" t="s">
        <v>118</v>
      </c>
    </row>
    <row r="7">
      <c r="E7" s="131"/>
      <c r="F7" s="132"/>
      <c r="G7" s="133"/>
    </row>
    <row r="8">
      <c r="E8" s="134" t="s">
        <v>119</v>
      </c>
      <c r="F8" s="135">
        <f>'1-7-26'!C132</f>
        <v>1900</v>
      </c>
      <c r="G8" s="136">
        <f>SUM(F8,F9,F10,F11,F12)</f>
        <v>3500</v>
      </c>
    </row>
    <row r="9">
      <c r="E9" s="134" t="s">
        <v>120</v>
      </c>
      <c r="F9" s="135">
        <f>'15-7-26'!C269</f>
        <v>400</v>
      </c>
      <c r="G9" s="30"/>
    </row>
    <row r="10">
      <c r="E10" s="134" t="s">
        <v>121</v>
      </c>
      <c r="F10" s="135">
        <f>'29-7-26'!C269</f>
        <v>400</v>
      </c>
      <c r="G10" s="30"/>
    </row>
    <row r="11">
      <c r="E11" s="134" t="s">
        <v>122</v>
      </c>
      <c r="F11" s="135">
        <f>'12-8-26'!C269</f>
        <v>400</v>
      </c>
      <c r="G11" s="30"/>
    </row>
    <row r="12">
      <c r="E12" s="137" t="s">
        <v>123</v>
      </c>
      <c r="F12" s="138">
        <f>'26-8-26'!C269</f>
        <v>400</v>
      </c>
      <c r="G12" s="35"/>
    </row>
    <row r="13">
      <c r="E13" s="139"/>
      <c r="F13" s="139"/>
      <c r="G13" s="140"/>
    </row>
    <row r="14">
      <c r="E14" s="139"/>
      <c r="F14" s="141"/>
      <c r="G14" s="1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M3"/>
    <mergeCell ref="G8:G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2023-05-24T18:06:56Z</dcterms:created>
  <dc:creator>admin</dc:creator>
</cp:coreProperties>
</file>